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Lançamentos" sheetId="2" state="visible" r:id="rId2"/>
    <sheet xmlns:r="http://schemas.openxmlformats.org/officeDocument/2006/relationships" name="Contas" sheetId="3" state="visible" r:id="rId3"/>
    <sheet xmlns:r="http://schemas.openxmlformats.org/officeDocument/2006/relationships" name="Categorias" sheetId="4" state="visible" r:id="rId4"/>
    <sheet xmlns:r="http://schemas.openxmlformats.org/officeDocument/2006/relationships" name="Orçamentos" sheetId="5" state="visible" r:id="rId5"/>
    <sheet xmlns:r="http://schemas.openxmlformats.org/officeDocument/2006/relationships" name="Perfil" sheetId="6" state="visible" r:id="rId6"/>
    <sheet xmlns:r="http://schemas.openxmlformats.org/officeDocument/2006/relationships" name="Metadados" sheetId="7" state="visible" r:id="rId7"/>
    <sheet xmlns:r="http://schemas.openxmlformats.org/officeDocument/2006/relationships" name="Leia-me" sheetId="8" state="visible" r:id="rId8"/>
    <sheet xmlns:r="http://schemas.openxmlformats.org/officeDocument/2006/relationships" name="_Listas" sheetId="9" state="hidden" r:id="rId9"/>
    <sheet xmlns:r="http://schemas.openxmlformats.org/officeDocument/2006/relationships" name="_Calc" sheetId="10" state="hidden" r:id="rId10"/>
  </sheets>
  <definedNames>
    <definedName name="L_DATA">'Lançamentos'!$B$2:$B$20001</definedName>
    <definedName name="L_TIPO">'Lançamentos'!$C$2:$C$20001</definedName>
    <definedName name="L_DESC">'Lançamentos'!$D$2:$D$20001</definedName>
    <definedName name="L_VALOR">'Lançamentos'!$E$2:$E$20001</definedName>
    <definedName name="L_CAT">'Lançamentos'!$F$2:$F$20001</definedName>
    <definedName name="L_CONTA">'Lançamentos'!$G$2:$G$20001</definedName>
    <definedName name="L_DEST">'Lançamentos'!$H$2:$H$20001</definedName>
    <definedName name="L_TIT">'Lançamentos'!$I$2:$I$20001</definedName>
    <definedName name="L_STATUS">'Lançamentos'!$J$2:$J$20001</definedName>
    <definedName name="L_CICLO">'Lançamentos'!$P$2:$P$20001</definedName>
    <definedName name="L_EXCL">'Lançamentos'!$T$2:$T$20001</definedName>
    <definedName name="F_ANO">'_Calc'!$B$2</definedName>
    <definedName name="F_INI">'_Calc'!$B$4</definedName>
    <definedName name="F_FIM">'_Calc'!$B$5</definedName>
    <definedName name="F_INI_ANT">'_Calc'!$B$6</definedName>
    <definedName name="F_FIM_ANT">'_Calc'!$B$7</definedName>
    <definedName name="F_CONTA_SEL">'_Calc'!$B$8</definedName>
    <definedName name="F_CONTA">'_Calc'!$B$9</definedName>
    <definedName name="F_TIT">'_Calc'!$B$10</definedName>
    <definedName name="HOJE">'_Calc'!$B$11</definedName>
    <definedName name="F_TIT_SEL">'_Calc'!$B$12</definedName>
    <definedName name="_xlnm.Print_Area" localSheetId="0">'Dashboard'!$A$1:$N$83</definedName>
    <definedName name="_xlnm._FilterDatabase" localSheetId="1" hidden="1">'Lançamentos'!$A$1:$U$20001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dd/mm/yyyy"/>
    <numFmt numFmtId="165" formatCode="&quot;R$&quot; #,##0.00"/>
    <numFmt numFmtId="166" formatCode="yyyy-mm-dd"/>
    <numFmt numFmtId="167" formatCode="0.0%"/>
    <numFmt numFmtId="168" formatCode="&quot;R$&quot; #,##0.00;-&quot;R$&quot; #,##0.00;"/>
    <numFmt numFmtId="169" formatCode="&quot;+R$&quot; #,##0.00"/>
    <numFmt numFmtId="170" formatCode="&quot;+&quot;0%"/>
    <numFmt numFmtId="171" formatCode="dd/mm"/>
  </numFmts>
  <fonts count="21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9231F"/>
      <sz val="10"/>
    </font>
    <font>
      <name val="Arial"/>
      <b val="1"/>
      <color rgb="00FFFFFF"/>
      <sz val="22"/>
    </font>
    <font>
      <name val="Arial"/>
      <color rgb="00FFE8D8"/>
      <sz val="10"/>
    </font>
    <font>
      <name val="Arial"/>
      <b val="1"/>
      <color rgb="00FFFFFF"/>
      <sz val="16"/>
    </font>
    <font>
      <name val="Arial"/>
      <b val="1"/>
      <color rgb="0070665E"/>
      <sz val="8"/>
    </font>
    <font>
      <name val="Arial"/>
      <b val="1"/>
      <color rgb="00C2410C"/>
      <sz val="11"/>
    </font>
    <font>
      <name val="Arial"/>
      <i val="1"/>
      <color rgb="0070665E"/>
      <sz val="8"/>
    </font>
    <font>
      <name val="Arial"/>
      <b val="1"/>
      <color rgb="0029231F"/>
      <sz val="20"/>
    </font>
    <font>
      <name val="Arial"/>
      <color rgb="0070665E"/>
      <sz val="8"/>
    </font>
    <font>
      <name val="Arial"/>
      <b val="1"/>
      <color rgb="0029231F"/>
      <sz val="14"/>
    </font>
    <font>
      <name val="Arial"/>
      <b val="1"/>
      <color rgb="0029231F"/>
      <sz val="13"/>
    </font>
    <font>
      <name val="Arial"/>
      <b val="1"/>
      <color rgb="00C2410C"/>
      <sz val="12"/>
    </font>
    <font>
      <name val="Arial"/>
      <b val="1"/>
      <color rgb="00C2410C"/>
      <sz val="8"/>
    </font>
    <font>
      <name val="Arial"/>
      <color rgb="00FF7A1A"/>
      <sz val="10"/>
    </font>
    <font>
      <name val="Arial"/>
      <b val="1"/>
      <color rgb="0029231F"/>
      <sz val="9"/>
    </font>
    <font>
      <name val="Arial"/>
      <b val="1"/>
      <color rgb="00C43D3D"/>
      <sz val="10"/>
    </font>
    <font>
      <name val="Arial"/>
      <color rgb="0070665E"/>
      <sz val="9"/>
    </font>
    <font>
      <name val="Arial"/>
      <b val="1"/>
      <color rgb="0029231F"/>
      <sz val="10"/>
    </font>
    <font>
      <name val="Arial"/>
      <b val="1"/>
      <color rgb="00C2410C"/>
      <sz val="10"/>
    </font>
  </fonts>
  <fills count="7">
    <fill>
      <patternFill/>
    </fill>
    <fill>
      <patternFill patternType="gray125"/>
    </fill>
    <fill>
      <patternFill patternType="solid">
        <fgColor rgb="00E8590C"/>
        <bgColor rgb="00E8590C"/>
      </patternFill>
    </fill>
    <fill>
      <patternFill patternType="solid">
        <fgColor rgb="0070665E"/>
        <bgColor rgb="0070665E"/>
      </patternFill>
    </fill>
    <fill>
      <patternFill patternType="solid">
        <fgColor rgb="00FBF7F4"/>
        <bgColor rgb="00FBF7F4"/>
      </patternFill>
    </fill>
    <fill>
      <patternFill patternType="solid">
        <fgColor rgb="00FFFFFF"/>
        <bgColor rgb="00FFFFFF"/>
      </patternFill>
    </fill>
    <fill>
      <patternFill patternType="solid">
        <fgColor rgb="00FFE8D8"/>
        <bgColor rgb="00FFE8D8"/>
      </patternFill>
    </fill>
  </fills>
  <borders count="26">
    <border>
      <left/>
      <right/>
      <top/>
      <bottom/>
      <diagonal/>
    </border>
    <border>
      <left style="medium">
        <color rgb="00FF7A1A"/>
      </left>
      <right/>
      <top style="medium">
        <color rgb="00FF7A1A"/>
      </top>
      <bottom style="medium">
        <color rgb="00FF7A1A"/>
      </bottom>
    </border>
    <border>
      <left/>
      <right style="medium">
        <color rgb="00FF7A1A"/>
      </right>
      <top style="medium">
        <color rgb="00FF7A1A"/>
      </top>
      <bottom style="medium">
        <color rgb="00FF7A1A"/>
      </bottom>
    </border>
    <border>
      <left style="thin">
        <color rgb="00DDD2C8"/>
      </left>
      <right/>
      <top style="thin">
        <color rgb="00DDD2C8"/>
      </top>
      <bottom/>
    </border>
    <border>
      <left/>
      <right/>
      <top style="thin">
        <color rgb="00DDD2C8"/>
      </top>
      <bottom/>
    </border>
    <border>
      <left/>
      <right style="thin">
        <color rgb="00DDD2C8"/>
      </right>
      <top style="thin">
        <color rgb="00DDD2C8"/>
      </top>
      <bottom/>
    </border>
    <border>
      <left style="thin">
        <color rgb="00DDD2C8"/>
      </left>
      <right/>
      <top/>
      <bottom/>
    </border>
    <border>
      <left/>
      <right/>
      <top/>
      <bottom/>
    </border>
    <border>
      <left/>
      <right style="thin">
        <color rgb="00DDD2C8"/>
      </right>
      <top/>
      <bottom/>
    </border>
    <border>
      <left style="thin">
        <color rgb="00DDD2C8"/>
      </left>
      <right/>
      <top/>
      <bottom style="thin">
        <color rgb="00DDD2C8"/>
      </bottom>
    </border>
    <border>
      <left/>
      <right/>
      <top/>
      <bottom style="thin">
        <color rgb="00DDD2C8"/>
      </bottom>
    </border>
    <border>
      <left/>
      <right style="thin">
        <color rgb="00DDD2C8"/>
      </right>
      <top/>
      <bottom style="thin">
        <color rgb="00DDD2C8"/>
      </bottom>
    </border>
    <border>
      <left style="thin">
        <color rgb="00DDD2C8"/>
      </left>
      <right/>
      <top style="thick">
        <color rgb="00247A52"/>
      </top>
      <bottom/>
    </border>
    <border>
      <left/>
      <right/>
      <top style="thick">
        <color rgb="00247A52"/>
      </top>
      <bottom/>
    </border>
    <border>
      <left/>
      <right style="thin">
        <color rgb="00DDD2C8"/>
      </right>
      <top style="thick">
        <color rgb="00247A52"/>
      </top>
      <bottom/>
    </border>
    <border>
      <left style="thin">
        <color rgb="00DDD2C8"/>
      </left>
      <right/>
      <top style="thick">
        <color rgb="00C43D3D"/>
      </top>
      <bottom/>
    </border>
    <border>
      <left/>
      <right/>
      <top style="thick">
        <color rgb="00C43D3D"/>
      </top>
      <bottom/>
    </border>
    <border>
      <left/>
      <right style="thin">
        <color rgb="00DDD2C8"/>
      </right>
      <top style="thick">
        <color rgb="00C43D3D"/>
      </top>
      <bottom/>
    </border>
    <border>
      <left style="thin">
        <color rgb="00DDD2C8"/>
      </left>
      <right/>
      <top style="thick">
        <color rgb="00E8590C"/>
      </top>
      <bottom/>
    </border>
    <border>
      <left/>
      <right/>
      <top style="thick">
        <color rgb="00E8590C"/>
      </top>
      <bottom/>
    </border>
    <border>
      <left/>
      <right style="thin">
        <color rgb="00DDD2C8"/>
      </right>
      <top style="thick">
        <color rgb="00E8590C"/>
      </top>
      <bottom/>
    </border>
    <border>
      <left style="thin">
        <color rgb="00DDD2C8"/>
      </left>
      <right/>
      <top style="thick">
        <color rgb="00FF7A1A"/>
      </top>
      <bottom/>
    </border>
    <border>
      <left/>
      <right/>
      <top style="thick">
        <color rgb="00FF7A1A"/>
      </top>
      <bottom/>
    </border>
    <border>
      <left/>
      <right style="thin">
        <color rgb="00DDD2C8"/>
      </right>
      <top style="thick">
        <color rgb="00FF7A1A"/>
      </top>
      <bottom/>
    </border>
    <border>
      <bottom style="medium">
        <color rgb="00FF7A1A"/>
      </bottom>
    </border>
    <border>
      <bottom style="thin">
        <color rgb="00E6DDD5"/>
      </bottom>
    </border>
  </borders>
  <cellStyleXfs count="1">
    <xf numFmtId="0" fontId="0" fillId="0" borderId="0"/>
  </cellStyleXfs>
  <cellXfs count="70">
    <xf numFmtId="0" fontId="0" fillId="0" borderId="0" pivotButton="0" quotePrefix="0" xfId="0"/>
    <xf numFmtId="0" fontId="2" fillId="4" borderId="0" pivotButton="0" quotePrefix="0" xfId="0"/>
    <xf numFmtId="0" fontId="3" fillId="2" borderId="0" applyAlignment="1" pivotButton="0" quotePrefix="0" xfId="0">
      <alignment vertical="center" indent="1"/>
    </xf>
    <xf numFmtId="0" fontId="5" fillId="2" borderId="0" applyAlignment="1" pivotButton="0" quotePrefix="0" xfId="0">
      <alignment horizontal="right" vertical="center" indent="1"/>
    </xf>
    <xf numFmtId="0" fontId="4" fillId="2" borderId="0" applyAlignment="1" pivotButton="0" quotePrefix="0" xfId="0">
      <alignment vertical="center" indent="1"/>
    </xf>
    <xf numFmtId="0" fontId="6" fillId="4" borderId="0" applyAlignment="1" pivotButton="0" quotePrefix="0" xfId="0">
      <alignment horizontal="center" vertical="bottom"/>
    </xf>
    <xf numFmtId="0" fontId="6" fillId="0" borderId="0" applyAlignment="1" pivotButton="0" quotePrefix="0" xfId="0">
      <alignment horizontal="center" vertical="bottom"/>
    </xf>
    <xf numFmtId="0" fontId="8" fillId="4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7" fillId="5" borderId="1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6" fillId="5" borderId="12" applyAlignment="1" pivotButton="0" quotePrefix="0" xfId="0">
      <alignment horizontal="left" vertical="center" indent="1"/>
    </xf>
    <xf numFmtId="0" fontId="6" fillId="5" borderId="13" applyAlignment="1" pivotButton="0" quotePrefix="0" xfId="0">
      <alignment horizontal="left" vertical="center" indent="1"/>
    </xf>
    <xf numFmtId="0" fontId="6" fillId="5" borderId="14" applyAlignment="1" pivotButton="0" quotePrefix="0" xfId="0">
      <alignment horizontal="left" vertical="center" indent="1"/>
    </xf>
    <xf numFmtId="0" fontId="6" fillId="5" borderId="15" applyAlignment="1" pivotButton="0" quotePrefix="0" xfId="0">
      <alignment horizontal="left" vertical="center" indent="1"/>
    </xf>
    <xf numFmtId="0" fontId="6" fillId="5" borderId="16" applyAlignment="1" pivotButton="0" quotePrefix="0" xfId="0">
      <alignment horizontal="left" vertical="center" indent="1"/>
    </xf>
    <xf numFmtId="0" fontId="6" fillId="5" borderId="17" applyAlignment="1" pivotButton="0" quotePrefix="0" xfId="0">
      <alignment horizontal="left" vertical="center" indent="1"/>
    </xf>
    <xf numFmtId="0" fontId="6" fillId="5" borderId="18" applyAlignment="1" pivotButton="0" quotePrefix="0" xfId="0">
      <alignment horizontal="left" vertical="center" indent="1"/>
    </xf>
    <xf numFmtId="0" fontId="6" fillId="5" borderId="19" applyAlignment="1" pivotButton="0" quotePrefix="0" xfId="0">
      <alignment horizontal="left" vertical="center" indent="1"/>
    </xf>
    <xf numFmtId="0" fontId="6" fillId="5" borderId="20" applyAlignment="1" pivotButton="0" quotePrefix="0" xfId="0">
      <alignment horizontal="left" vertical="center" indent="1"/>
    </xf>
    <xf numFmtId="0" fontId="6" fillId="5" borderId="21" applyAlignment="1" pivotButton="0" quotePrefix="0" xfId="0">
      <alignment horizontal="left" vertical="center" indent="1"/>
    </xf>
    <xf numFmtId="0" fontId="6" fillId="5" borderId="22" applyAlignment="1" pivotButton="0" quotePrefix="0" xfId="0">
      <alignment horizontal="left" vertical="center" indent="1"/>
    </xf>
    <xf numFmtId="0" fontId="6" fillId="5" borderId="23" applyAlignment="1" pivotButton="0" quotePrefix="0" xfId="0">
      <alignment horizontal="left" vertical="center" indent="1"/>
    </xf>
    <xf numFmtId="165" fontId="9" fillId="5" borderId="6" applyAlignment="1" pivotButton="0" quotePrefix="0" xfId="0">
      <alignment horizontal="left" vertical="center" indent="1"/>
    </xf>
    <xf numFmtId="165" fontId="9" fillId="5" borderId="7" applyAlignment="1" pivotButton="0" quotePrefix="0" xfId="0">
      <alignment horizontal="left" vertical="center" indent="1"/>
    </xf>
    <xf numFmtId="165" fontId="9" fillId="5" borderId="8" applyAlignment="1" pivotButton="0" quotePrefix="0" xfId="0">
      <alignment horizontal="left" vertical="center" indent="1"/>
    </xf>
    <xf numFmtId="167" fontId="9" fillId="5" borderId="6" applyAlignment="1" pivotButton="0" quotePrefix="0" xfId="0">
      <alignment horizontal="left" vertical="center" indent="1"/>
    </xf>
    <xf numFmtId="167" fontId="9" fillId="5" borderId="7" applyAlignment="1" pivotButton="0" quotePrefix="0" xfId="0">
      <alignment horizontal="left" vertical="center" indent="1"/>
    </xf>
    <xf numFmtId="167" fontId="9" fillId="5" borderId="8" applyAlignment="1" pivotButton="0" quotePrefix="0" xfId="0">
      <alignment horizontal="left" vertical="center" indent="1"/>
    </xf>
    <xf numFmtId="0" fontId="10" fillId="5" borderId="9" applyAlignment="1" pivotButton="0" quotePrefix="0" xfId="0">
      <alignment horizontal="left" vertical="center" indent="1"/>
    </xf>
    <xf numFmtId="0" fontId="10" fillId="5" borderId="10" applyAlignment="1" pivotButton="0" quotePrefix="0" xfId="0">
      <alignment horizontal="left" vertical="center" indent="1"/>
    </xf>
    <xf numFmtId="0" fontId="10" fillId="5" borderId="11" applyAlignment="1" pivotButton="0" quotePrefix="0" xfId="0">
      <alignment horizontal="left" vertical="center" indent="1"/>
    </xf>
    <xf numFmtId="165" fontId="11" fillId="5" borderId="6" applyAlignment="1" pivotButton="0" quotePrefix="0" xfId="0">
      <alignment horizontal="left" vertical="center" indent="1"/>
    </xf>
    <xf numFmtId="165" fontId="11" fillId="5" borderId="7" applyAlignment="1" pivotButton="0" quotePrefix="0" xfId="0">
      <alignment horizontal="left" vertical="center" indent="1"/>
    </xf>
    <xf numFmtId="165" fontId="11" fillId="5" borderId="8" applyAlignment="1" pivotButton="0" quotePrefix="0" xfId="0">
      <alignment horizontal="left" vertical="center" indent="1"/>
    </xf>
    <xf numFmtId="49" fontId="12" fillId="5" borderId="6" applyAlignment="1" pivotButton="0" quotePrefix="0" xfId="0">
      <alignment horizontal="left" vertical="center" indent="1"/>
    </xf>
    <xf numFmtId="49" fontId="11" fillId="5" borderId="7" applyAlignment="1" pivotButton="0" quotePrefix="0" xfId="0">
      <alignment horizontal="left" vertical="center" indent="1"/>
    </xf>
    <xf numFmtId="49" fontId="11" fillId="5" borderId="8" applyAlignment="1" pivotButton="0" quotePrefix="0" xfId="0">
      <alignment horizontal="left" vertical="center" indent="1"/>
    </xf>
    <xf numFmtId="0" fontId="13" fillId="4" borderId="24" applyAlignment="1" pivotButton="0" quotePrefix="0" xfId="0">
      <alignment vertical="center"/>
    </xf>
    <xf numFmtId="0" fontId="13" fillId="0" borderId="24" applyAlignment="1" pivotButton="0" quotePrefix="0" xfId="0">
      <alignment vertical="center"/>
    </xf>
    <xf numFmtId="0" fontId="14" fillId="6" borderId="0" applyAlignment="1" pivotButton="0" quotePrefix="0" xfId="0">
      <alignment horizontal="left" vertical="center" indent="1"/>
    </xf>
    <xf numFmtId="0" fontId="14" fillId="6" borderId="0" applyAlignment="1" pivotButton="0" quotePrefix="0" xfId="0">
      <alignment horizontal="right" vertical="center"/>
    </xf>
    <xf numFmtId="0" fontId="14" fillId="6" borderId="0" applyAlignment="1" pivotButton="0" quotePrefix="0" xfId="0">
      <alignment horizontal="center" vertical="center"/>
    </xf>
    <xf numFmtId="0" fontId="2" fillId="5" borderId="25" applyAlignment="1" pivotButton="0" quotePrefix="0" xfId="0">
      <alignment horizontal="left" vertical="center" indent="1"/>
    </xf>
    <xf numFmtId="168" fontId="2" fillId="5" borderId="25" applyAlignment="1" pivotButton="0" quotePrefix="0" xfId="0">
      <alignment horizontal="right" vertical="center"/>
    </xf>
    <xf numFmtId="9" fontId="2" fillId="5" borderId="25" applyAlignment="1" pivotButton="0" quotePrefix="0" xfId="0">
      <alignment horizontal="center" vertical="center"/>
    </xf>
    <xf numFmtId="0" fontId="15" fillId="5" borderId="25" applyAlignment="1" pivotButton="0" quotePrefix="0" xfId="0">
      <alignment horizontal="left" vertical="center" indent="1"/>
    </xf>
    <xf numFmtId="0" fontId="16" fillId="5" borderId="25" applyAlignment="1" pivotButton="0" quotePrefix="0" xfId="0">
      <alignment horizontal="center" vertical="center"/>
    </xf>
    <xf numFmtId="165" fontId="2" fillId="5" borderId="25" applyAlignment="1" pivotButton="0" quotePrefix="0" xfId="0">
      <alignment horizontal="right" vertical="center"/>
    </xf>
    <xf numFmtId="169" fontId="17" fillId="5" borderId="25" applyAlignment="1" pivotButton="0" quotePrefix="0" xfId="0">
      <alignment horizontal="right" vertical="center"/>
    </xf>
    <xf numFmtId="170" fontId="17" fillId="5" borderId="25" applyAlignment="1" pivotButton="0" quotePrefix="0" xfId="0">
      <alignment horizontal="center" vertical="center"/>
    </xf>
    <xf numFmtId="0" fontId="8" fillId="4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171" fontId="2" fillId="5" borderId="25" applyAlignment="1" pivotButton="0" quotePrefix="0" xfId="0">
      <alignment horizontal="center" vertical="center"/>
    </xf>
    <xf numFmtId="0" fontId="18" fillId="5" borderId="25" applyAlignment="1" pivotButton="0" quotePrefix="0" xfId="0">
      <alignment horizontal="left" vertical="center" indent="1"/>
    </xf>
    <xf numFmtId="165" fontId="19" fillId="5" borderId="25" applyAlignment="1" pivotButton="0" quotePrefix="0" xfId="0">
      <alignment horizontal="right" vertical="center"/>
    </xf>
    <xf numFmtId="164" fontId="2" fillId="5" borderId="25" applyAlignment="1" pivotButton="0" quotePrefix="0" xfId="0">
      <alignment horizontal="center" vertical="center"/>
    </xf>
    <xf numFmtId="0" fontId="19" fillId="5" borderId="25" applyAlignment="1" pivotButton="0" quotePrefix="0" xfId="0">
      <alignment horizontal="right" vertical="center"/>
    </xf>
    <xf numFmtId="0" fontId="8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0" fontId="1" fillId="3" borderId="0" applyAlignment="1" pivotButton="0" quotePrefix="0" xfId="0">
      <alignment horizontal="left" vertical="center"/>
    </xf>
    <xf numFmtId="0" fontId="5" fillId="2" borderId="0" applyAlignment="1" pivotButton="0" quotePrefix="0" xfId="0">
      <alignment vertical="center" indent="1"/>
    </xf>
    <xf numFmtId="0" fontId="20" fillId="6" borderId="0" applyAlignment="1" pivotButton="0" quotePrefix="0" xfId="0">
      <alignment vertical="top" wrapText="1" inden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9">
    <dxf>
      <font>
        <name val="Arial"/>
        <b val="1"/>
        <color rgb="00C43D3D"/>
        <sz val="20"/>
      </font>
    </dxf>
    <dxf>
      <font>
        <name val="Arial"/>
        <b val="1"/>
        <color rgb="00247A52"/>
        <sz val="20"/>
      </font>
    </dxf>
    <dxf>
      <font>
        <name val="Arial"/>
        <color rgb="00247A52"/>
        <sz val="8"/>
      </font>
    </dxf>
    <dxf>
      <font>
        <name val="Arial"/>
        <color rgb="00C43D3D"/>
        <sz val="8"/>
      </font>
    </dxf>
    <dxf>
      <font>
        <name val="Arial"/>
        <b val="1"/>
        <color rgb="00C43D3D"/>
        <sz val="14"/>
      </font>
    </dxf>
    <dxf>
      <font>
        <name val="Arial"/>
        <b val="1"/>
        <color rgb="00C43D3D"/>
      </font>
      <fill>
        <patternFill patternType="solid">
          <fgColor rgb="00FBE3E3"/>
          <bgColor rgb="00FBE3E3"/>
        </patternFill>
      </fill>
    </dxf>
    <dxf>
      <font>
        <name val="Arial"/>
        <b val="1"/>
        <color rgb="00C2410C"/>
      </font>
      <fill>
        <patternFill patternType="solid">
          <fgColor rgb="00FFE8D8"/>
          <bgColor rgb="00FFE8D8"/>
        </patternFill>
      </fill>
    </dxf>
    <dxf>
      <font>
        <name val="Arial"/>
        <b val="1"/>
        <color rgb="00247A52"/>
      </font>
      <fill>
        <patternFill patternType="solid">
          <fgColor rgb="00E4F3EB"/>
          <bgColor rgb="00E4F3EB"/>
        </patternFill>
      </fill>
    </dxf>
    <dxf>
      <font>
        <name val="Arial"/>
        <b val="1"/>
        <color rgb="00C43D3D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E8590C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FF7A1A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 xmlns:a="http://schemas.openxmlformats.org/drawingml/2006/main">
                <a:srgbClr val="F59E0B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 xmlns:a="http://schemas.openxmlformats.org/drawingml/2006/main">
                <a:srgbClr val="FBBF24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 xmlns:a="http://schemas.openxmlformats.org/drawingml/2006/main">
                <a:srgbClr val="247A52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5"/>
            <spPr>
              <a:solidFill xmlns:a="http://schemas.openxmlformats.org/drawingml/2006/main">
                <a:srgbClr val="4FA37A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6"/>
            <spPr>
              <a:solidFill xmlns:a="http://schemas.openxmlformats.org/drawingml/2006/main">
                <a:srgbClr val="6B7FD7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7"/>
            <spPr>
              <a:solidFill xmlns:a="http://schemas.openxmlformats.org/drawingml/2006/main">
                <a:srgbClr val="9B8AA6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8"/>
            <spPr>
              <a:solidFill xmlns:a="http://schemas.openxmlformats.org/drawingml/2006/main">
                <a:srgbClr val="C43D3D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dPt>
            <idx val="9"/>
            <spPr>
              <a:solidFill xmlns:a="http://schemas.openxmlformats.org/drawingml/2006/main">
                <a:srgbClr val="70665E"/>
              </a:solidFill>
              <a:ln xmlns:a="http://schemas.openxmlformats.org/drawingml/2006/main">
                <a:solidFill>
                  <a:srgbClr val="FFFFFF"/>
                </a:solidFill>
                <a:prstDash val="solid"/>
              </a:ln>
            </spPr>
          </dPt>
          <cat>
            <numRef>
              <f>'Dashboard'!$B$20:$B$29</f>
            </numRef>
          </cat>
          <val>
            <numRef>
              <f>'Dashboard'!$D$20:$D$29</f>
            </numRef>
          </val>
        </ser>
        <firstSliceAng val="0"/>
        <holeSize val="58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'_Calc'!C84</f>
            </strRef>
          </tx>
          <spPr>
            <a:solidFill xmlns:a="http://schemas.openxmlformats.org/drawingml/2006/main">
              <a:srgbClr val="247A52"/>
            </a:solidFill>
            <a:ln xmlns:a="http://schemas.openxmlformats.org/drawingml/2006/main">
              <a:prstDash val="solid"/>
            </a:ln>
          </spPr>
          <cat>
            <numRef>
              <f>'_Calc'!$B$85:$B$90</f>
            </numRef>
          </cat>
          <val>
            <numRef>
              <f>'_Calc'!$C$85:$C$90</f>
            </numRef>
          </val>
        </ser>
        <ser>
          <idx val="1"/>
          <order val="1"/>
          <tx>
            <strRef>
              <f>'_Calc'!D84</f>
            </strRef>
          </tx>
          <spPr>
            <a:solidFill xmlns:a="http://schemas.openxmlformats.org/drawingml/2006/main">
              <a:srgbClr val="C43D3D"/>
            </a:solidFill>
            <a:ln xmlns:a="http://schemas.openxmlformats.org/drawingml/2006/main">
              <a:prstDash val="solid"/>
            </a:ln>
          </spPr>
          <cat>
            <numRef>
              <f>'_Calc'!$B$85:$B$90</f>
            </numRef>
          </cat>
          <val>
            <numRef>
              <f>'_Calc'!$D$85:$D$90</f>
            </numRef>
          </val>
        </ser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6DDD5"/>
              </a:solidFill>
              <a:prstDash val="solid"/>
            </a:ln>
          </spPr>
        </majorGridlines>
        <numFmt formatCode="#,##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="http://schemas.openxmlformats.org/drawingml/2006/chart">
  <chart>
    <plotArea>
      <barChart>
        <barDir val="col"/>
        <grouping val="clustered"/>
        <ser>
          <idx val="0"/>
          <order val="0"/>
          <tx>
            <strRef>
              <f>'_Calc'!B95</f>
            </strRef>
          </tx>
          <spPr>
            <a:solidFill xmlns:a="http://schemas.openxmlformats.org/drawingml/2006/main">
              <a:srgbClr val="FF7A1A"/>
            </a:solidFill>
            <a:ln xmlns:a="http://schemas.openxmlformats.org/drawingml/2006/main">
              <a:prstDash val="solid"/>
            </a:ln>
          </spPr>
          <cat>
            <numRef>
              <f>'_Calc'!$A$96:$A$126</f>
            </numRef>
          </cat>
          <val>
            <numRef>
              <f>'_Calc'!$B$96:$B$126</f>
            </numRef>
          </val>
        </ser>
        <gapWidth val="4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6DDD5"/>
              </a:solidFill>
              <a:prstDash val="solid"/>
            </a:ln>
          </spPr>
        </majorGridlines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7</col>
      <colOff>0</colOff>
      <row>18</row>
      <rowOff>0</rowOff>
    </from>
    <ext cx="5400000" cy="277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32</row>
      <rowOff>0</rowOff>
    </from>
    <ext cx="54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32</row>
      <rowOff>0</rowOff>
    </from>
    <ext cx="540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E8590C"/>
    <outlinePr summaryBelow="1" summaryRight="1"/>
    <pageSetUpPr fitToPage="1"/>
  </sheetPr>
  <dimension ref="A1:N84"/>
  <sheetViews>
    <sheetView showGridLines="0" tabSelected="1" zoomScale="100" workbookViewId="0">
      <selection activeCell="A1" sqref="A1"/>
    </sheetView>
  </sheetViews>
  <sheetFormatPr baseColWidth="8" defaultRowHeight="15"/>
  <cols>
    <col width="2" customWidth="1" min="1" max="1"/>
    <col width="13.5" customWidth="1" min="2" max="2"/>
    <col width="13.5" customWidth="1" min="3" max="3"/>
    <col width="13.5" customWidth="1" min="4" max="4"/>
    <col width="13.5" customWidth="1" min="5" max="5"/>
    <col width="13.5" customWidth="1" min="6" max="6"/>
    <col width="13.5" customWidth="1" min="7" max="7"/>
    <col width="13.5" customWidth="1" min="8" max="8"/>
    <col width="13.5" customWidth="1" min="9" max="9"/>
    <col width="13.5" customWidth="1" min="10" max="10"/>
    <col width="13.5" customWidth="1" min="11" max="11"/>
    <col width="13.5" customWidth="1" min="12" max="12"/>
    <col width="13.5" customWidth="1" min="13" max="13"/>
    <col width="2" customWidth="1" min="14" max="14"/>
  </cols>
  <sheetData>
    <row r="1" ht="6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30" customHeight="1">
      <c r="A2" s="1" t="n"/>
      <c r="B2" s="2" t="inlineStr">
        <is>
          <t>Orange Finance</t>
        </is>
      </c>
      <c r="C2" s="2" t="n"/>
      <c r="D2" s="2" t="n"/>
      <c r="E2" s="2" t="n"/>
      <c r="F2" s="2" t="n"/>
      <c r="G2" s="2" t="n"/>
      <c r="H2" s="2" t="n"/>
      <c r="I2" s="3">
        <f>INDEX('_Listas'!$B$2:$B$13,_Calc!$B$3)&amp;" de "&amp;_Calc!$B$2</f>
        <v/>
      </c>
      <c r="J2" s="3" t="n"/>
      <c r="K2" s="3" t="n"/>
      <c r="L2" s="3" t="n"/>
      <c r="M2" s="3" t="n"/>
      <c r="N2" s="1" t="n"/>
    </row>
    <row r="3" ht="18" customHeight="1">
      <c r="A3" s="1" t="n"/>
      <c r="B3" s="4">
        <f>"Dashboard · "&amp;'Metadados'!$B$5</f>
        <v/>
      </c>
      <c r="C3" s="4" t="n"/>
      <c r="D3" s="4" t="n"/>
      <c r="E3" s="4" t="n"/>
      <c r="F3" s="4" t="n"/>
      <c r="G3" s="4" t="n"/>
      <c r="H3" s="4" t="n"/>
      <c r="I3" s="3" t="n"/>
      <c r="J3" s="3" t="n"/>
      <c r="K3" s="3" t="n"/>
      <c r="L3" s="3" t="n"/>
      <c r="M3" s="3" t="n"/>
      <c r="N3" s="1" t="n"/>
    </row>
    <row r="4" ht="8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</row>
    <row r="5">
      <c r="A5" s="1" t="n"/>
      <c r="B5" s="5" t="inlineStr">
        <is>
          <t>ANO</t>
        </is>
      </c>
      <c r="C5" s="6" t="n"/>
      <c r="D5" s="5" t="inlineStr">
        <is>
          <t>MÊS</t>
        </is>
      </c>
      <c r="E5" s="6" t="n"/>
      <c r="F5" s="5" t="inlineStr">
        <is>
          <t>CONTA</t>
        </is>
      </c>
      <c r="G5" s="6" t="n"/>
      <c r="H5" s="7" t="inlineStr">
        <is>
          <t>Escolha ano, mês e conta: todo o painel se atualiza. Transferências entre contas não entram em receitas e despesas.</t>
        </is>
      </c>
      <c r="I5" s="8" t="n"/>
      <c r="J5" s="8" t="n"/>
      <c r="K5" s="8" t="n"/>
      <c r="L5" s="8" t="n"/>
      <c r="M5" s="8" t="n"/>
      <c r="N5" s="1" t="n"/>
    </row>
    <row r="6" ht="26" customHeight="1">
      <c r="A6" s="1" t="n"/>
      <c r="B6" s="9">
        <f>YEAR(TODAY())</f>
        <v/>
      </c>
      <c r="C6" s="10" t="n"/>
      <c r="D6" s="9">
        <f>INDEX('_Listas'!$B$2:$B$13,MONTH(TODAY()))</f>
        <v/>
      </c>
      <c r="E6" s="10" t="n"/>
      <c r="F6" s="9" t="inlineStr">
        <is>
          <t>Todas</t>
        </is>
      </c>
      <c r="G6" s="10" t="n"/>
      <c r="H6" s="8" t="n"/>
      <c r="I6" s="8" t="n"/>
      <c r="J6" s="8" t="n"/>
      <c r="K6" s="8" t="n"/>
      <c r="L6" s="8" t="n"/>
      <c r="M6" s="8" t="n"/>
      <c r="N6" s="1" t="n"/>
    </row>
    <row r="7">
      <c r="A7" s="1" t="n"/>
      <c r="B7" s="1" t="n"/>
      <c r="N7" s="1" t="n"/>
    </row>
    <row r="8" ht="6" customHeigh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</row>
    <row r="9" ht="20" customHeight="1">
      <c r="A9" s="1" t="n"/>
      <c r="B9" s="11" t="inlineStr">
        <is>
          <t>RECEITAS DO MÊS</t>
        </is>
      </c>
      <c r="C9" s="12" t="n"/>
      <c r="D9" s="13" t="n"/>
      <c r="E9" s="14" t="inlineStr">
        <is>
          <t>DESPESAS DO MÊS</t>
        </is>
      </c>
      <c r="F9" s="15" t="n"/>
      <c r="G9" s="16" t="n"/>
      <c r="H9" s="17" t="inlineStr">
        <is>
          <t>RESULTADO DO MÊS</t>
        </is>
      </c>
      <c r="I9" s="18" t="n"/>
      <c r="J9" s="19" t="n"/>
      <c r="K9" s="20" t="inlineStr">
        <is>
          <t>TAXA DE POUPANÇA</t>
        </is>
      </c>
      <c r="L9" s="21" t="n"/>
      <c r="M9" s="22" t="n"/>
      <c r="N9" s="1" t="n"/>
    </row>
    <row r="10" ht="16" customHeight="1">
      <c r="A10" s="1" t="n"/>
      <c r="B10" s="23">
        <f>_Calc!$E$2</f>
        <v/>
      </c>
      <c r="C10" s="24" t="n"/>
      <c r="D10" s="25" t="n"/>
      <c r="E10" s="23">
        <f>_Calc!$E$3</f>
        <v/>
      </c>
      <c r="F10" s="24" t="n"/>
      <c r="G10" s="25" t="n"/>
      <c r="H10" s="23">
        <f>_Calc!$E$2-_Calc!$E$3</f>
        <v/>
      </c>
      <c r="I10" s="24" t="n"/>
      <c r="J10" s="25" t="n"/>
      <c r="K10" s="26">
        <f>IF(_Calc!$E$2&gt;0,(_Calc!$E$2-_Calc!$E$3)/_Calc!$E$2,0)</f>
        <v/>
      </c>
      <c r="L10" s="27" t="n"/>
      <c r="M10" s="28" t="n"/>
      <c r="N10" s="1" t="n"/>
    </row>
    <row r="11" ht="16" customHeight="1">
      <c r="A11" s="1" t="n"/>
      <c r="B11" s="23" t="n"/>
      <c r="C11" s="24" t="n"/>
      <c r="D11" s="25" t="n"/>
      <c r="E11" s="23" t="n"/>
      <c r="F11" s="24" t="n"/>
      <c r="G11" s="25" t="n"/>
      <c r="H11" s="23" t="n"/>
      <c r="I11" s="24" t="n"/>
      <c r="J11" s="25" t="n"/>
      <c r="K11" s="26" t="n"/>
      <c r="L11" s="27" t="n"/>
      <c r="M11" s="28" t="n"/>
      <c r="N11" s="1" t="n"/>
    </row>
    <row r="12" ht="18" customHeight="1">
      <c r="A12" s="1" t="n"/>
      <c r="B12" s="29">
        <f>IF(_Calc!$E$4&gt;0,IF(_Calc!$E$2&gt;=_Calc!$E$4,"▲ ","▼ ")&amp;TEXT(ABS(_Calc!$E$2/_Calc!$E$4-1),"0%")&amp;" vs mês anterior","Sem dados no mês anterior")</f>
        <v/>
      </c>
      <c r="C12" s="30" t="n"/>
      <c r="D12" s="31" t="n"/>
      <c r="E12" s="29">
        <f>IF(_Calc!$E$5&gt;0,IF(_Calc!$E$3&gt;=_Calc!$E$5,"▲ ","▼ ")&amp;TEXT(ABS(_Calc!$E$3/_Calc!$E$5-1),"0%")&amp;" vs mês anterior","Sem dados no mês anterior")</f>
        <v/>
      </c>
      <c r="F12" s="30" t="n"/>
      <c r="G12" s="31" t="n"/>
      <c r="H12" s="29">
        <f>IF(H10&gt;=0,"Sobrou neste mês","Faltou neste mês")</f>
        <v/>
      </c>
      <c r="I12" s="30" t="n"/>
      <c r="J12" s="31" t="n"/>
      <c r="K12" s="29" t="inlineStr">
        <is>
          <t>do que entrou no mês</t>
        </is>
      </c>
      <c r="L12" s="30" t="n"/>
      <c r="M12" s="31" t="n"/>
      <c r="N12" s="1" t="n"/>
    </row>
    <row r="13" ht="8" customHeight="1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</row>
    <row r="14" ht="20" customHeight="1">
      <c r="A14" s="1" t="n"/>
      <c r="B14" s="11" t="inlineStr">
        <is>
          <t>SALDO EM CONTAS (HOJE)</t>
        </is>
      </c>
      <c r="C14" s="12" t="n"/>
      <c r="D14" s="13" t="n"/>
      <c r="E14" s="14" t="inlineStr">
        <is>
          <t>DÍVIDA EM CARTÕES (HOJE)</t>
        </is>
      </c>
      <c r="F14" s="15" t="n"/>
      <c r="G14" s="16" t="n"/>
      <c r="H14" s="17" t="inlineStr">
        <is>
          <t>A PAGAR NO MÊS</t>
        </is>
      </c>
      <c r="I14" s="18" t="n"/>
      <c r="J14" s="19" t="n"/>
      <c r="K14" s="20" t="inlineStr">
        <is>
          <t>MAIOR CATEGORIA</t>
        </is>
      </c>
      <c r="L14" s="21" t="n"/>
      <c r="M14" s="22" t="n"/>
      <c r="N14" s="1" t="n"/>
    </row>
    <row r="15" ht="26" customHeight="1">
      <c r="A15" s="1" t="n"/>
      <c r="B15" s="32">
        <f>_Calc!$E$8</f>
        <v/>
      </c>
      <c r="C15" s="33" t="n"/>
      <c r="D15" s="34" t="n"/>
      <c r="E15" s="32">
        <f>_Calc!$E$9</f>
        <v/>
      </c>
      <c r="F15" s="33" t="n"/>
      <c r="G15" s="34" t="n"/>
      <c r="H15" s="32">
        <f>_Calc!$E$6</f>
        <v/>
      </c>
      <c r="I15" s="33" t="n"/>
      <c r="J15" s="34" t="n"/>
      <c r="K15" s="35">
        <f>IF(_Calc!$E$11="","—",_Calc!$E$11)</f>
        <v/>
      </c>
      <c r="L15" s="36" t="n"/>
      <c r="M15" s="37" t="n"/>
      <c r="N15" s="1" t="n"/>
    </row>
    <row r="16" ht="18" customHeight="1">
      <c r="A16" s="1" t="n"/>
      <c r="B16" s="29" t="inlineStr">
        <is>
          <t>Contas, poupança, carteira e investimentos</t>
        </is>
      </c>
      <c r="C16" s="30" t="n"/>
      <c r="D16" s="31" t="n"/>
      <c r="E16" s="29" t="inlineStr">
        <is>
          <t>Compras ainda não quitadas</t>
        </is>
      </c>
      <c r="F16" s="30" t="n"/>
      <c r="G16" s="31" t="n"/>
      <c r="H16" s="29">
        <f>IF(_Calc!$E$7&gt;0,TEXT(_Calc!$E$7,"0")&amp;" em atraso","Nenhuma em atraso")</f>
        <v/>
      </c>
      <c r="I16" s="30" t="n"/>
      <c r="J16" s="31" t="n"/>
      <c r="K16" s="29">
        <f>IF(_Calc!$E$12&gt;0,TEXT(_Calc!$E$12,"#,##0.00")&amp;" no mês","Sem despesas no mês")</f>
        <v/>
      </c>
      <c r="L16" s="30" t="n"/>
      <c r="M16" s="31" t="n"/>
      <c r="N16" s="1" t="n"/>
    </row>
    <row r="17" ht="8" customHeight="1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</row>
    <row r="18" ht="24" customHeight="1">
      <c r="A18" s="1" t="n"/>
      <c r="B18" s="38" t="inlineStr">
        <is>
          <t>Gastos por categoria</t>
        </is>
      </c>
      <c r="C18" s="39" t="n"/>
      <c r="D18" s="39" t="n"/>
      <c r="E18" s="39" t="n"/>
      <c r="F18" s="39" t="n"/>
      <c r="G18" s="39" t="n"/>
      <c r="H18" s="38" t="inlineStr">
        <is>
          <t>Distribuição das despesas</t>
        </is>
      </c>
      <c r="I18" s="39" t="n"/>
      <c r="J18" s="39" t="n"/>
      <c r="K18" s="39" t="n"/>
      <c r="L18" s="39" t="n"/>
      <c r="M18" s="39" t="n"/>
      <c r="N18" s="1" t="n"/>
    </row>
    <row r="19" ht="20" customHeight="1">
      <c r="A19" s="1" t="n"/>
      <c r="B19" s="40" t="inlineStr">
        <is>
          <t>CATEGORIA</t>
        </is>
      </c>
      <c r="C19" s="40" t="n"/>
      <c r="D19" s="41" t="inlineStr">
        <is>
          <t>GASTO</t>
        </is>
      </c>
      <c r="E19" s="42" t="inlineStr">
        <is>
          <t>% DO TOTAL</t>
        </is>
      </c>
      <c r="F19" s="40" t="inlineStr">
        <is>
          <t>PESO RELATIVO</t>
        </is>
      </c>
      <c r="G19" s="40" t="n"/>
      <c r="H19" s="1" t="n"/>
      <c r="I19" s="1" t="n"/>
      <c r="J19" s="1" t="n"/>
      <c r="K19" s="1" t="n"/>
      <c r="L19" s="1" t="n"/>
      <c r="M19" s="1" t="n"/>
      <c r="N19" s="1" t="n"/>
    </row>
    <row r="20" ht="18" customHeight="1">
      <c r="A20" s="1" t="n"/>
      <c r="B20" s="43">
        <f>IF(_Calc!$L$15="","",_Calc!$L$15)</f>
        <v/>
      </c>
      <c r="C20" s="43" t="n"/>
      <c r="D20" s="44">
        <f>_Calc!$M$15</f>
        <v/>
      </c>
      <c r="E20" s="45">
        <f>IF(_Calc!$L$15="","",_Calc!$N$15)</f>
        <v/>
      </c>
      <c r="F20" s="46">
        <f>IF(_Calc!$L$15="","",REPT("█",MAX(1,ROUND(_Calc!$M$15/MAX(_Calc!$M$15,1)*14,0))))</f>
        <v/>
      </c>
      <c r="G20" s="46" t="n"/>
      <c r="H20" s="1" t="n"/>
      <c r="I20" s="1" t="n"/>
      <c r="J20" s="1" t="n"/>
      <c r="K20" s="1" t="n"/>
      <c r="L20" s="1" t="n"/>
      <c r="M20" s="1" t="n"/>
      <c r="N20" s="1" t="n"/>
    </row>
    <row r="21" ht="18" customHeight="1">
      <c r="A21" s="1" t="n"/>
      <c r="B21" s="43">
        <f>IF(_Calc!$L$16="","",_Calc!$L$16)</f>
        <v/>
      </c>
      <c r="C21" s="43" t="n"/>
      <c r="D21" s="44">
        <f>_Calc!$M$16</f>
        <v/>
      </c>
      <c r="E21" s="45">
        <f>IF(_Calc!$L$16="","",_Calc!$N$16)</f>
        <v/>
      </c>
      <c r="F21" s="46">
        <f>IF(_Calc!$L$16="","",REPT("█",MAX(1,ROUND(_Calc!$M$16/MAX(_Calc!$M$15,1)*14,0))))</f>
        <v/>
      </c>
      <c r="G21" s="46" t="n"/>
      <c r="H21" s="1" t="n"/>
      <c r="I21" s="1" t="n"/>
      <c r="J21" s="1" t="n"/>
      <c r="K21" s="1" t="n"/>
      <c r="L21" s="1" t="n"/>
      <c r="M21" s="1" t="n"/>
      <c r="N21" s="1" t="n"/>
    </row>
    <row r="22" ht="18" customHeight="1">
      <c r="A22" s="1" t="n"/>
      <c r="B22" s="43">
        <f>IF(_Calc!$L$17="","",_Calc!$L$17)</f>
        <v/>
      </c>
      <c r="C22" s="43" t="n"/>
      <c r="D22" s="44">
        <f>_Calc!$M$17</f>
        <v/>
      </c>
      <c r="E22" s="45">
        <f>IF(_Calc!$L$17="","",_Calc!$N$17)</f>
        <v/>
      </c>
      <c r="F22" s="46">
        <f>IF(_Calc!$L$17="","",REPT("█",MAX(1,ROUND(_Calc!$M$17/MAX(_Calc!$M$15,1)*14,0))))</f>
        <v/>
      </c>
      <c r="G22" s="46" t="n"/>
      <c r="H22" s="1" t="n"/>
      <c r="I22" s="1" t="n"/>
      <c r="J22" s="1" t="n"/>
      <c r="K22" s="1" t="n"/>
      <c r="L22" s="1" t="n"/>
      <c r="M22" s="1" t="n"/>
      <c r="N22" s="1" t="n"/>
    </row>
    <row r="23" ht="18" customHeight="1">
      <c r="A23" s="1" t="n"/>
      <c r="B23" s="43">
        <f>IF(_Calc!$L$18="","",_Calc!$L$18)</f>
        <v/>
      </c>
      <c r="C23" s="43" t="n"/>
      <c r="D23" s="44">
        <f>_Calc!$M$18</f>
        <v/>
      </c>
      <c r="E23" s="45">
        <f>IF(_Calc!$L$18="","",_Calc!$N$18)</f>
        <v/>
      </c>
      <c r="F23" s="46">
        <f>IF(_Calc!$L$18="","",REPT("█",MAX(1,ROUND(_Calc!$M$18/MAX(_Calc!$M$15,1)*14,0))))</f>
        <v/>
      </c>
      <c r="G23" s="46" t="n"/>
      <c r="H23" s="1" t="n"/>
      <c r="I23" s="1" t="n"/>
      <c r="J23" s="1" t="n"/>
      <c r="K23" s="1" t="n"/>
      <c r="L23" s="1" t="n"/>
      <c r="M23" s="1" t="n"/>
      <c r="N23" s="1" t="n"/>
    </row>
    <row r="24" ht="18" customHeight="1">
      <c r="A24" s="1" t="n"/>
      <c r="B24" s="43">
        <f>IF(_Calc!$L$19="","",_Calc!$L$19)</f>
        <v/>
      </c>
      <c r="C24" s="43" t="n"/>
      <c r="D24" s="44">
        <f>_Calc!$M$19</f>
        <v/>
      </c>
      <c r="E24" s="45">
        <f>IF(_Calc!$L$19="","",_Calc!$N$19)</f>
        <v/>
      </c>
      <c r="F24" s="46">
        <f>IF(_Calc!$L$19="","",REPT("█",MAX(1,ROUND(_Calc!$M$19/MAX(_Calc!$M$15,1)*14,0))))</f>
        <v/>
      </c>
      <c r="G24" s="46" t="n"/>
      <c r="H24" s="1" t="n"/>
      <c r="I24" s="1" t="n"/>
      <c r="J24" s="1" t="n"/>
      <c r="K24" s="1" t="n"/>
      <c r="L24" s="1" t="n"/>
      <c r="M24" s="1" t="n"/>
      <c r="N24" s="1" t="n"/>
    </row>
    <row r="25" ht="18" customHeight="1">
      <c r="A25" s="1" t="n"/>
      <c r="B25" s="43">
        <f>IF(_Calc!$L$20="","",_Calc!$L$20)</f>
        <v/>
      </c>
      <c r="C25" s="43" t="n"/>
      <c r="D25" s="44">
        <f>_Calc!$M$20</f>
        <v/>
      </c>
      <c r="E25" s="45">
        <f>IF(_Calc!$L$20="","",_Calc!$N$20)</f>
        <v/>
      </c>
      <c r="F25" s="46">
        <f>IF(_Calc!$L$20="","",REPT("█",MAX(1,ROUND(_Calc!$M$20/MAX(_Calc!$M$15,1)*14,0))))</f>
        <v/>
      </c>
      <c r="G25" s="46" t="n"/>
      <c r="H25" s="1" t="n"/>
      <c r="I25" s="1" t="n"/>
      <c r="J25" s="1" t="n"/>
      <c r="K25" s="1" t="n"/>
      <c r="L25" s="1" t="n"/>
      <c r="M25" s="1" t="n"/>
      <c r="N25" s="1" t="n"/>
    </row>
    <row r="26" ht="18" customHeight="1">
      <c r="A26" s="1" t="n"/>
      <c r="B26" s="43">
        <f>IF(_Calc!$L$21="","",_Calc!$L$21)</f>
        <v/>
      </c>
      <c r="C26" s="43" t="n"/>
      <c r="D26" s="44">
        <f>_Calc!$M$21</f>
        <v/>
      </c>
      <c r="E26" s="45">
        <f>IF(_Calc!$L$21="","",_Calc!$N$21)</f>
        <v/>
      </c>
      <c r="F26" s="46">
        <f>IF(_Calc!$L$21="","",REPT("█",MAX(1,ROUND(_Calc!$M$21/MAX(_Calc!$M$15,1)*14,0))))</f>
        <v/>
      </c>
      <c r="G26" s="46" t="n"/>
      <c r="H26" s="1" t="n"/>
      <c r="I26" s="1" t="n"/>
      <c r="J26" s="1" t="n"/>
      <c r="K26" s="1" t="n"/>
      <c r="L26" s="1" t="n"/>
      <c r="M26" s="1" t="n"/>
      <c r="N26" s="1" t="n"/>
    </row>
    <row r="27" ht="18" customHeight="1">
      <c r="A27" s="1" t="n"/>
      <c r="B27" s="43">
        <f>IF(_Calc!$L$22="","",_Calc!$L$22)</f>
        <v/>
      </c>
      <c r="C27" s="43" t="n"/>
      <c r="D27" s="44">
        <f>_Calc!$M$22</f>
        <v/>
      </c>
      <c r="E27" s="45">
        <f>IF(_Calc!$L$22="","",_Calc!$N$22)</f>
        <v/>
      </c>
      <c r="F27" s="46">
        <f>IF(_Calc!$L$22="","",REPT("█",MAX(1,ROUND(_Calc!$M$22/MAX(_Calc!$M$15,1)*14,0))))</f>
        <v/>
      </c>
      <c r="G27" s="46" t="n"/>
      <c r="H27" s="1" t="n"/>
      <c r="I27" s="1" t="n"/>
      <c r="J27" s="1" t="n"/>
      <c r="K27" s="1" t="n"/>
      <c r="L27" s="1" t="n"/>
      <c r="M27" s="1" t="n"/>
      <c r="N27" s="1" t="n"/>
    </row>
    <row r="28" ht="18" customHeight="1">
      <c r="A28" s="1" t="n"/>
      <c r="B28" s="43">
        <f>IF(_Calc!$L$23="","",_Calc!$L$23)</f>
        <v/>
      </c>
      <c r="C28" s="43" t="n"/>
      <c r="D28" s="44">
        <f>_Calc!$M$23</f>
        <v/>
      </c>
      <c r="E28" s="45">
        <f>IF(_Calc!$L$23="","",_Calc!$N$23)</f>
        <v/>
      </c>
      <c r="F28" s="46">
        <f>IF(_Calc!$L$23="","",REPT("█",MAX(1,ROUND(_Calc!$M$23/MAX(_Calc!$M$15,1)*14,0))))</f>
        <v/>
      </c>
      <c r="G28" s="46" t="n"/>
      <c r="H28" s="1" t="n"/>
      <c r="I28" s="1" t="n"/>
      <c r="J28" s="1" t="n"/>
      <c r="K28" s="1" t="n"/>
      <c r="L28" s="1" t="n"/>
      <c r="M28" s="1" t="n"/>
      <c r="N28" s="1" t="n"/>
    </row>
    <row r="29" ht="18" customHeight="1">
      <c r="A29" s="1" t="n"/>
      <c r="B29" s="43">
        <f>IF(_Calc!$L$24="","",_Calc!$L$24)</f>
        <v/>
      </c>
      <c r="C29" s="43" t="n"/>
      <c r="D29" s="44">
        <f>_Calc!$M$24</f>
        <v/>
      </c>
      <c r="E29" s="45">
        <f>IF(_Calc!$L$24="","",_Calc!$N$24)</f>
        <v/>
      </c>
      <c r="F29" s="46">
        <f>IF(_Calc!$L$24="","",REPT("█",MAX(1,ROUND(_Calc!$M$24/MAX(_Calc!$M$15,1)*14,0))))</f>
        <v/>
      </c>
      <c r="G29" s="46" t="n"/>
      <c r="H29" s="1" t="n"/>
      <c r="I29" s="1" t="n"/>
      <c r="J29" s="1" t="n"/>
      <c r="K29" s="1" t="n"/>
      <c r="L29" s="1" t="n"/>
      <c r="M29" s="1" t="n"/>
      <c r="N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</row>
    <row r="31" ht="8" customHeight="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</row>
    <row r="32" ht="24" customHeight="1">
      <c r="A32" s="1" t="n"/>
      <c r="B32" s="38" t="inlineStr">
        <is>
          <t>Receitas × despesas · últimos 6 meses</t>
        </is>
      </c>
      <c r="C32" s="39" t="n"/>
      <c r="D32" s="39" t="n"/>
      <c r="E32" s="39" t="n"/>
      <c r="F32" s="39" t="n"/>
      <c r="G32" s="39" t="n"/>
      <c r="H32" s="38" t="inlineStr">
        <is>
          <t>Despesas por dia do mês</t>
        </is>
      </c>
      <c r="I32" s="39" t="n"/>
      <c r="J32" s="39" t="n"/>
      <c r="K32" s="39" t="n"/>
      <c r="L32" s="39" t="n"/>
      <c r="M32" s="39" t="n"/>
      <c r="N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</row>
    <row r="47" ht="8" customHeight="1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</row>
    <row r="48" ht="24" customHeight="1">
      <c r="A48" s="1" t="n"/>
      <c r="B48" s="38" t="inlineStr">
        <is>
          <t>Orçamento × realizado</t>
        </is>
      </c>
      <c r="C48" s="39" t="n"/>
      <c r="D48" s="39" t="n"/>
      <c r="E48" s="39" t="n"/>
      <c r="F48" s="39" t="n"/>
      <c r="G48" s="39" t="n"/>
      <c r="H48" s="38" t="inlineStr">
        <is>
          <t>Vilões do mês · maiores aumentos vs mês anterior</t>
        </is>
      </c>
      <c r="I48" s="39" t="n"/>
      <c r="J48" s="39" t="n"/>
      <c r="K48" s="39" t="n"/>
      <c r="L48" s="39" t="n"/>
      <c r="M48" s="39" t="n"/>
      <c r="N48" s="1" t="n"/>
    </row>
    <row r="49" ht="20" customHeight="1">
      <c r="A49" s="1" t="n"/>
      <c r="B49" s="40" t="inlineStr">
        <is>
          <t>CATEGORIA</t>
        </is>
      </c>
      <c r="C49" s="40" t="n"/>
      <c r="D49" s="41" t="inlineStr">
        <is>
          <t>LIMITE</t>
        </is>
      </c>
      <c r="E49" s="41" t="inlineStr">
        <is>
          <t>GASTO</t>
        </is>
      </c>
      <c r="F49" s="42" t="inlineStr">
        <is>
          <t>% USADO</t>
        </is>
      </c>
      <c r="G49" s="42" t="inlineStr">
        <is>
          <t>SITUAÇÃO</t>
        </is>
      </c>
      <c r="H49" s="40" t="inlineStr">
        <is>
          <t>CATEGORIA</t>
        </is>
      </c>
      <c r="I49" s="40" t="n"/>
      <c r="J49" s="41" t="inlineStr">
        <is>
          <t>ANTERIOR</t>
        </is>
      </c>
      <c r="K49" s="41" t="inlineStr">
        <is>
          <t>ATUAL</t>
        </is>
      </c>
      <c r="L49" s="41" t="inlineStr">
        <is>
          <t>AUMENTO</t>
        </is>
      </c>
      <c r="M49" s="42" t="inlineStr">
        <is>
          <t>%</t>
        </is>
      </c>
      <c r="N49" s="1" t="n"/>
    </row>
    <row r="50" ht="18" customHeight="1">
      <c r="A50" s="1" t="n"/>
      <c r="B50" s="43">
        <f>IF(_Calc!$L$61="","",_Calc!$L$61)</f>
        <v/>
      </c>
      <c r="C50" s="43" t="n"/>
      <c r="D50" s="44">
        <f>_Calc!$M$61</f>
        <v/>
      </c>
      <c r="E50" s="44">
        <f>_Calc!$N$61</f>
        <v/>
      </c>
      <c r="F50" s="45">
        <f>IF(_Calc!$L$61="","",_Calc!$O$61)</f>
        <v/>
      </c>
      <c r="G50" s="47">
        <f>IF(_Calc!$L$61="","",IF(_Calc!$O$61&gt;=1,"Estourou",IF(_Calc!$O$61&gt;=0.8,"Atenção","No limite")))</f>
        <v/>
      </c>
      <c r="H50" s="43">
        <f>IF(_Calc!$T$15="","",_Calc!$T$15)</f>
        <v/>
      </c>
      <c r="I50" s="43" t="n"/>
      <c r="J50" s="48">
        <f>IF(_Calc!$T$15="","",_Calc!$U$15)</f>
        <v/>
      </c>
      <c r="K50" s="48">
        <f>IF(_Calc!$T$15="","",_Calc!$V$15)</f>
        <v/>
      </c>
      <c r="L50" s="49">
        <f>IF(_Calc!$T$15="","",_Calc!$W$15)</f>
        <v/>
      </c>
      <c r="M50" s="50">
        <f>IF(_Calc!$T$15="","",_Calc!$X$15)</f>
        <v/>
      </c>
      <c r="N50" s="1" t="n"/>
    </row>
    <row r="51" ht="18" customHeight="1">
      <c r="A51" s="1" t="n"/>
      <c r="B51" s="43">
        <f>IF(_Calc!$L$62="","",_Calc!$L$62)</f>
        <v/>
      </c>
      <c r="C51" s="43" t="n"/>
      <c r="D51" s="44">
        <f>_Calc!$M$62</f>
        <v/>
      </c>
      <c r="E51" s="44">
        <f>_Calc!$N$62</f>
        <v/>
      </c>
      <c r="F51" s="45">
        <f>IF(_Calc!$L$62="","",_Calc!$O$62)</f>
        <v/>
      </c>
      <c r="G51" s="47">
        <f>IF(_Calc!$L$62="","",IF(_Calc!$O$62&gt;=1,"Estourou",IF(_Calc!$O$62&gt;=0.8,"Atenção","No limite")))</f>
        <v/>
      </c>
      <c r="H51" s="43">
        <f>IF(_Calc!$T$16="","",_Calc!$T$16)</f>
        <v/>
      </c>
      <c r="I51" s="43" t="n"/>
      <c r="J51" s="48">
        <f>IF(_Calc!$T$16="","",_Calc!$U$16)</f>
        <v/>
      </c>
      <c r="K51" s="48">
        <f>IF(_Calc!$T$16="","",_Calc!$V$16)</f>
        <v/>
      </c>
      <c r="L51" s="49">
        <f>IF(_Calc!$T$16="","",_Calc!$W$16)</f>
        <v/>
      </c>
      <c r="M51" s="50">
        <f>IF(_Calc!$T$16="","",_Calc!$X$16)</f>
        <v/>
      </c>
      <c r="N51" s="1" t="n"/>
    </row>
    <row r="52" ht="18" customHeight="1">
      <c r="A52" s="1" t="n"/>
      <c r="B52" s="43">
        <f>IF(_Calc!$L$63="","",_Calc!$L$63)</f>
        <v/>
      </c>
      <c r="C52" s="43" t="n"/>
      <c r="D52" s="44">
        <f>_Calc!$M$63</f>
        <v/>
      </c>
      <c r="E52" s="44">
        <f>_Calc!$N$63</f>
        <v/>
      </c>
      <c r="F52" s="45">
        <f>IF(_Calc!$L$63="","",_Calc!$O$63)</f>
        <v/>
      </c>
      <c r="G52" s="47">
        <f>IF(_Calc!$L$63="","",IF(_Calc!$O$63&gt;=1,"Estourou",IF(_Calc!$O$63&gt;=0.8,"Atenção","No limite")))</f>
        <v/>
      </c>
      <c r="H52" s="43">
        <f>IF(_Calc!$T$17="","",_Calc!$T$17)</f>
        <v/>
      </c>
      <c r="I52" s="43" t="n"/>
      <c r="J52" s="48">
        <f>IF(_Calc!$T$17="","",_Calc!$U$17)</f>
        <v/>
      </c>
      <c r="K52" s="48">
        <f>IF(_Calc!$T$17="","",_Calc!$V$17)</f>
        <v/>
      </c>
      <c r="L52" s="49">
        <f>IF(_Calc!$T$17="","",_Calc!$W$17)</f>
        <v/>
      </c>
      <c r="M52" s="50">
        <f>IF(_Calc!$T$17="","",_Calc!$X$17)</f>
        <v/>
      </c>
      <c r="N52" s="1" t="n"/>
    </row>
    <row r="53" ht="18" customHeight="1">
      <c r="A53" s="1" t="n"/>
      <c r="B53" s="43">
        <f>IF(_Calc!$L$64="","",_Calc!$L$64)</f>
        <v/>
      </c>
      <c r="C53" s="43" t="n"/>
      <c r="D53" s="44">
        <f>_Calc!$M$64</f>
        <v/>
      </c>
      <c r="E53" s="44">
        <f>_Calc!$N$64</f>
        <v/>
      </c>
      <c r="F53" s="45">
        <f>IF(_Calc!$L$64="","",_Calc!$O$64)</f>
        <v/>
      </c>
      <c r="G53" s="47">
        <f>IF(_Calc!$L$64="","",IF(_Calc!$O$64&gt;=1,"Estourou",IF(_Calc!$O$64&gt;=0.8,"Atenção","No limite")))</f>
        <v/>
      </c>
      <c r="H53" s="43">
        <f>IF(_Calc!$T$18="","",_Calc!$T$18)</f>
        <v/>
      </c>
      <c r="I53" s="43" t="n"/>
      <c r="J53" s="48">
        <f>IF(_Calc!$T$18="","",_Calc!$U$18)</f>
        <v/>
      </c>
      <c r="K53" s="48">
        <f>IF(_Calc!$T$18="","",_Calc!$V$18)</f>
        <v/>
      </c>
      <c r="L53" s="49">
        <f>IF(_Calc!$T$18="","",_Calc!$W$18)</f>
        <v/>
      </c>
      <c r="M53" s="50">
        <f>IF(_Calc!$T$18="","",_Calc!$X$18)</f>
        <v/>
      </c>
      <c r="N53" s="1" t="n"/>
    </row>
    <row r="54" ht="18" customHeight="1">
      <c r="A54" s="1" t="n"/>
      <c r="B54" s="43">
        <f>IF(_Calc!$L$65="","",_Calc!$L$65)</f>
        <v/>
      </c>
      <c r="C54" s="43" t="n"/>
      <c r="D54" s="44">
        <f>_Calc!$M$65</f>
        <v/>
      </c>
      <c r="E54" s="44">
        <f>_Calc!$N$65</f>
        <v/>
      </c>
      <c r="F54" s="45">
        <f>IF(_Calc!$L$65="","",_Calc!$O$65)</f>
        <v/>
      </c>
      <c r="G54" s="47">
        <f>IF(_Calc!$L$65="","",IF(_Calc!$O$65&gt;=1,"Estourou",IF(_Calc!$O$65&gt;=0.8,"Atenção","No limite")))</f>
        <v/>
      </c>
      <c r="H54" s="43">
        <f>IF(_Calc!$T$19="","",_Calc!$T$19)</f>
        <v/>
      </c>
      <c r="I54" s="43" t="n"/>
      <c r="J54" s="48">
        <f>IF(_Calc!$T$19="","",_Calc!$U$19)</f>
        <v/>
      </c>
      <c r="K54" s="48">
        <f>IF(_Calc!$T$19="","",_Calc!$V$19)</f>
        <v/>
      </c>
      <c r="L54" s="49">
        <f>IF(_Calc!$T$19="","",_Calc!$W$19)</f>
        <v/>
      </c>
      <c r="M54" s="50">
        <f>IF(_Calc!$T$19="","",_Calc!$X$19)</f>
        <v/>
      </c>
      <c r="N54" s="1" t="n"/>
    </row>
    <row r="55" ht="18" customHeight="1">
      <c r="A55" s="1" t="n"/>
      <c r="B55" s="43">
        <f>IF(_Calc!$L$66="","",_Calc!$L$66)</f>
        <v/>
      </c>
      <c r="C55" s="43" t="n"/>
      <c r="D55" s="44">
        <f>_Calc!$M$66</f>
        <v/>
      </c>
      <c r="E55" s="44">
        <f>_Calc!$N$66</f>
        <v/>
      </c>
      <c r="F55" s="45">
        <f>IF(_Calc!$L$66="","",_Calc!$O$66)</f>
        <v/>
      </c>
      <c r="G55" s="47">
        <f>IF(_Calc!$L$66="","",IF(_Calc!$O$66&gt;=1,"Estourou",IF(_Calc!$O$66&gt;=0.8,"Atenção","No limite")))</f>
        <v/>
      </c>
      <c r="H55" s="1" t="n"/>
      <c r="I55" s="1" t="n"/>
      <c r="J55" s="1" t="n"/>
      <c r="K55" s="1" t="n"/>
      <c r="L55" s="1" t="n"/>
      <c r="M55" s="1" t="n"/>
      <c r="N55" s="1" t="n"/>
    </row>
    <row r="56" ht="18" customHeight="1">
      <c r="A56" s="1" t="n"/>
      <c r="B56" s="43">
        <f>IF(_Calc!$L$67="","",_Calc!$L$67)</f>
        <v/>
      </c>
      <c r="C56" s="43" t="n"/>
      <c r="D56" s="44">
        <f>_Calc!$M$67</f>
        <v/>
      </c>
      <c r="E56" s="44">
        <f>_Calc!$N$67</f>
        <v/>
      </c>
      <c r="F56" s="45">
        <f>IF(_Calc!$L$67="","",_Calc!$O$67)</f>
        <v/>
      </c>
      <c r="G56" s="47">
        <f>IF(_Calc!$L$67="","",IF(_Calc!$O$67&gt;=1,"Estourou",IF(_Calc!$O$67&gt;=0.8,"Atenção","No limite")))</f>
        <v/>
      </c>
      <c r="H56" s="51" t="inlineStr">
        <is>
          <t>Vilões são as categorias cujo gasto mais cresceu em reais em relação ao mês anterior. Se a lista estiver vazia, nenhum gasto subiu.</t>
        </is>
      </c>
      <c r="I56" s="52" t="n"/>
      <c r="J56" s="52" t="n"/>
      <c r="K56" s="52" t="n"/>
      <c r="L56" s="52" t="n"/>
      <c r="M56" s="52" t="n"/>
      <c r="N56" s="1" t="n"/>
    </row>
    <row r="57" ht="18" customHeight="1">
      <c r="A57" s="1" t="n"/>
      <c r="B57" s="43">
        <f>IF(_Calc!$L$68="","",_Calc!$L$68)</f>
        <v/>
      </c>
      <c r="C57" s="43" t="n"/>
      <c r="D57" s="44">
        <f>_Calc!$M$68</f>
        <v/>
      </c>
      <c r="E57" s="44">
        <f>_Calc!$N$68</f>
        <v/>
      </c>
      <c r="F57" s="45">
        <f>IF(_Calc!$L$68="","",_Calc!$O$68)</f>
        <v/>
      </c>
      <c r="G57" s="47">
        <f>IF(_Calc!$L$68="","",IF(_Calc!$O$68&gt;=1,"Estourou",IF(_Calc!$O$68&gt;=0.8,"Atenção","No limite")))</f>
        <v/>
      </c>
      <c r="H57" s="52" t="n"/>
      <c r="I57" s="52" t="n"/>
      <c r="J57" s="52" t="n"/>
      <c r="K57" s="52" t="n"/>
      <c r="L57" s="52" t="n"/>
      <c r="M57" s="52" t="n"/>
      <c r="N57" s="1" t="n"/>
    </row>
    <row r="58" ht="8" customHeight="1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</row>
    <row r="59" ht="24" customHeight="1">
      <c r="A59" s="1" t="n"/>
      <c r="B59" s="38" t="inlineStr">
        <is>
          <t>Maiores despesas do mês</t>
        </is>
      </c>
      <c r="C59" s="39" t="n"/>
      <c r="D59" s="39" t="n"/>
      <c r="E59" s="39" t="n"/>
      <c r="F59" s="39" t="n"/>
      <c r="G59" s="39" t="n"/>
      <c r="H59" s="38" t="inlineStr">
        <is>
          <t>Contas a pagar · pendentes até o fim do mês</t>
        </is>
      </c>
      <c r="I59" s="39" t="n"/>
      <c r="J59" s="39" t="n"/>
      <c r="K59" s="39" t="n"/>
      <c r="L59" s="39" t="n"/>
      <c r="M59" s="39" t="n"/>
      <c r="N59" s="1" t="n"/>
    </row>
    <row r="60" ht="20" customHeight="1">
      <c r="A60" s="1" t="n"/>
      <c r="B60" s="42" t="inlineStr">
        <is>
          <t>DATA</t>
        </is>
      </c>
      <c r="C60" s="40" t="inlineStr">
        <is>
          <t>DESCRIÇÃO</t>
        </is>
      </c>
      <c r="D60" s="40" t="n"/>
      <c r="E60" s="40" t="n"/>
      <c r="F60" s="40" t="inlineStr">
        <is>
          <t>CATEGORIA</t>
        </is>
      </c>
      <c r="G60" s="41" t="inlineStr">
        <is>
          <t>VALOR</t>
        </is>
      </c>
      <c r="H60" s="42" t="inlineStr">
        <is>
          <t>VENCIMENTO</t>
        </is>
      </c>
      <c r="I60" s="40" t="inlineStr">
        <is>
          <t>DESCRIÇÃO</t>
        </is>
      </c>
      <c r="J60" s="40" t="n"/>
      <c r="K60" s="40" t="n"/>
      <c r="L60" s="41" t="inlineStr">
        <is>
          <t>VALOR</t>
        </is>
      </c>
      <c r="M60" s="42" t="inlineStr">
        <is>
          <t>SITUAÇÃO</t>
        </is>
      </c>
      <c r="N60" s="1" t="n"/>
    </row>
    <row r="61" ht="18" customHeight="1">
      <c r="A61" s="1" t="n"/>
      <c r="B61" s="53">
        <f>IF(_Calc!$C$130&gt;0,INDEX('Lançamentos'!$B:$B,_Calc!$C$130),"")</f>
        <v/>
      </c>
      <c r="C61" s="43">
        <f>IF(_Calc!$C$130&gt;0,INDEX('Lançamentos'!$D:$D,_Calc!$C$130),"")</f>
        <v/>
      </c>
      <c r="D61" s="43" t="n"/>
      <c r="E61" s="43" t="n"/>
      <c r="F61" s="54">
        <f>IF(_Calc!$C$130&gt;0,INDEX('Lançamentos'!$F:$F,_Calc!$C$130)&amp;"","")</f>
        <v/>
      </c>
      <c r="G61" s="55">
        <f>IF(_Calc!$C$130&gt;0,INDEX('Lançamentos'!$E:$E,_Calc!$C$130),"")</f>
        <v/>
      </c>
      <c r="H61" s="56">
        <f>IF(_Calc!$D$145&gt;0,_Calc!$C$145,"")</f>
        <v/>
      </c>
      <c r="I61" s="43">
        <f>IF(_Calc!$D$145&gt;0,INDEX('Lançamentos'!$D:$D,_Calc!$D$145),"")</f>
        <v/>
      </c>
      <c r="J61" s="43" t="n"/>
      <c r="K61" s="43" t="n"/>
      <c r="L61" s="55">
        <f>IF(_Calc!$D$145&gt;0,INDEX('Lançamentos'!$E:$E,_Calc!$D$145),"")</f>
        <v/>
      </c>
      <c r="M61" s="47">
        <f>IF(_Calc!$D$145=0,"",IF(_Calc!$C$145&lt;HOJE,"Atrasada",IF(_Calc!$C$145=HOJE,"Vence hoje","No prazo")))</f>
        <v/>
      </c>
      <c r="N61" s="1" t="n"/>
    </row>
    <row r="62" ht="18" customHeight="1">
      <c r="A62" s="1" t="n"/>
      <c r="B62" s="53">
        <f>IF(_Calc!$C$131&gt;0,INDEX('Lançamentos'!$B:$B,_Calc!$C$131),"")</f>
        <v/>
      </c>
      <c r="C62" s="43">
        <f>IF(_Calc!$C$131&gt;0,INDEX('Lançamentos'!$D:$D,_Calc!$C$131),"")</f>
        <v/>
      </c>
      <c r="D62" s="43" t="n"/>
      <c r="E62" s="43" t="n"/>
      <c r="F62" s="54">
        <f>IF(_Calc!$C$131&gt;0,INDEX('Lançamentos'!$F:$F,_Calc!$C$131)&amp;"","")</f>
        <v/>
      </c>
      <c r="G62" s="55">
        <f>IF(_Calc!$C$131&gt;0,INDEX('Lançamentos'!$E:$E,_Calc!$C$131),"")</f>
        <v/>
      </c>
      <c r="H62" s="56">
        <f>IF(_Calc!$D$146&gt;0,_Calc!$C$146,"")</f>
        <v/>
      </c>
      <c r="I62" s="43">
        <f>IF(_Calc!$D$146&gt;0,INDEX('Lançamentos'!$D:$D,_Calc!$D$146),"")</f>
        <v/>
      </c>
      <c r="J62" s="43" t="n"/>
      <c r="K62" s="43" t="n"/>
      <c r="L62" s="55">
        <f>IF(_Calc!$D$146&gt;0,INDEX('Lançamentos'!$E:$E,_Calc!$D$146),"")</f>
        <v/>
      </c>
      <c r="M62" s="47">
        <f>IF(_Calc!$D$146=0,"",IF(_Calc!$C$146&lt;HOJE,"Atrasada",IF(_Calc!$C$146=HOJE,"Vence hoje","No prazo")))</f>
        <v/>
      </c>
      <c r="N62" s="1" t="n"/>
    </row>
    <row r="63" ht="18" customHeight="1">
      <c r="A63" s="1" t="n"/>
      <c r="B63" s="53">
        <f>IF(_Calc!$C$132&gt;0,INDEX('Lançamentos'!$B:$B,_Calc!$C$132),"")</f>
        <v/>
      </c>
      <c r="C63" s="43">
        <f>IF(_Calc!$C$132&gt;0,INDEX('Lançamentos'!$D:$D,_Calc!$C$132),"")</f>
        <v/>
      </c>
      <c r="D63" s="43" t="n"/>
      <c r="E63" s="43" t="n"/>
      <c r="F63" s="54">
        <f>IF(_Calc!$C$132&gt;0,INDEX('Lançamentos'!$F:$F,_Calc!$C$132)&amp;"","")</f>
        <v/>
      </c>
      <c r="G63" s="55">
        <f>IF(_Calc!$C$132&gt;0,INDEX('Lançamentos'!$E:$E,_Calc!$C$132),"")</f>
        <v/>
      </c>
      <c r="H63" s="56">
        <f>IF(_Calc!$D$147&gt;0,_Calc!$C$147,"")</f>
        <v/>
      </c>
      <c r="I63" s="43">
        <f>IF(_Calc!$D$147&gt;0,INDEX('Lançamentos'!$D:$D,_Calc!$D$147),"")</f>
        <v/>
      </c>
      <c r="J63" s="43" t="n"/>
      <c r="K63" s="43" t="n"/>
      <c r="L63" s="55">
        <f>IF(_Calc!$D$147&gt;0,INDEX('Lançamentos'!$E:$E,_Calc!$D$147),"")</f>
        <v/>
      </c>
      <c r="M63" s="47">
        <f>IF(_Calc!$D$147=0,"",IF(_Calc!$C$147&lt;HOJE,"Atrasada",IF(_Calc!$C$147=HOJE,"Vence hoje","No prazo")))</f>
        <v/>
      </c>
      <c r="N63" s="1" t="n"/>
    </row>
    <row r="64" ht="18" customHeight="1">
      <c r="A64" s="1" t="n"/>
      <c r="B64" s="53">
        <f>IF(_Calc!$C$133&gt;0,INDEX('Lançamentos'!$B:$B,_Calc!$C$133),"")</f>
        <v/>
      </c>
      <c r="C64" s="43">
        <f>IF(_Calc!$C$133&gt;0,INDEX('Lançamentos'!$D:$D,_Calc!$C$133),"")</f>
        <v/>
      </c>
      <c r="D64" s="43" t="n"/>
      <c r="E64" s="43" t="n"/>
      <c r="F64" s="54">
        <f>IF(_Calc!$C$133&gt;0,INDEX('Lançamentos'!$F:$F,_Calc!$C$133)&amp;"","")</f>
        <v/>
      </c>
      <c r="G64" s="55">
        <f>IF(_Calc!$C$133&gt;0,INDEX('Lançamentos'!$E:$E,_Calc!$C$133),"")</f>
        <v/>
      </c>
      <c r="H64" s="56">
        <f>IF(_Calc!$D$148&gt;0,_Calc!$C$148,"")</f>
        <v/>
      </c>
      <c r="I64" s="43">
        <f>IF(_Calc!$D$148&gt;0,INDEX('Lançamentos'!$D:$D,_Calc!$D$148),"")</f>
        <v/>
      </c>
      <c r="J64" s="43" t="n"/>
      <c r="K64" s="43" t="n"/>
      <c r="L64" s="55">
        <f>IF(_Calc!$D$148&gt;0,INDEX('Lançamentos'!$E:$E,_Calc!$D$148),"")</f>
        <v/>
      </c>
      <c r="M64" s="47">
        <f>IF(_Calc!$D$148=0,"",IF(_Calc!$C$148&lt;HOJE,"Atrasada",IF(_Calc!$C$148=HOJE,"Vence hoje","No prazo")))</f>
        <v/>
      </c>
      <c r="N64" s="1" t="n"/>
    </row>
    <row r="65" ht="18" customHeight="1">
      <c r="A65" s="1" t="n"/>
      <c r="B65" s="53">
        <f>IF(_Calc!$C$134&gt;0,INDEX('Lançamentos'!$B:$B,_Calc!$C$134),"")</f>
        <v/>
      </c>
      <c r="C65" s="43">
        <f>IF(_Calc!$C$134&gt;0,INDEX('Lançamentos'!$D:$D,_Calc!$C$134),"")</f>
        <v/>
      </c>
      <c r="D65" s="43" t="n"/>
      <c r="E65" s="43" t="n"/>
      <c r="F65" s="54">
        <f>IF(_Calc!$C$134&gt;0,INDEX('Lançamentos'!$F:$F,_Calc!$C$134)&amp;"","")</f>
        <v/>
      </c>
      <c r="G65" s="55">
        <f>IF(_Calc!$C$134&gt;0,INDEX('Lançamentos'!$E:$E,_Calc!$C$134),"")</f>
        <v/>
      </c>
      <c r="H65" s="56">
        <f>IF(_Calc!$D$149&gt;0,_Calc!$C$149,"")</f>
        <v/>
      </c>
      <c r="I65" s="43">
        <f>IF(_Calc!$D$149&gt;0,INDEX('Lançamentos'!$D:$D,_Calc!$D$149),"")</f>
        <v/>
      </c>
      <c r="J65" s="43" t="n"/>
      <c r="K65" s="43" t="n"/>
      <c r="L65" s="55">
        <f>IF(_Calc!$D$149&gt;0,INDEX('Lançamentos'!$E:$E,_Calc!$D$149),"")</f>
        <v/>
      </c>
      <c r="M65" s="47">
        <f>IF(_Calc!$D$149=0,"",IF(_Calc!$C$149&lt;HOJE,"Atrasada",IF(_Calc!$C$149=HOJE,"Vence hoje","No prazo")))</f>
        <v/>
      </c>
      <c r="N65" s="1" t="n"/>
    </row>
    <row r="66" ht="18" customHeight="1">
      <c r="A66" s="1" t="n"/>
      <c r="B66" s="53">
        <f>IF(_Calc!$C$135&gt;0,INDEX('Lançamentos'!$B:$B,_Calc!$C$135),"")</f>
        <v/>
      </c>
      <c r="C66" s="43">
        <f>IF(_Calc!$C$135&gt;0,INDEX('Lançamentos'!$D:$D,_Calc!$C$135),"")</f>
        <v/>
      </c>
      <c r="D66" s="43" t="n"/>
      <c r="E66" s="43" t="n"/>
      <c r="F66" s="54">
        <f>IF(_Calc!$C$135&gt;0,INDEX('Lançamentos'!$F:$F,_Calc!$C$135)&amp;"","")</f>
        <v/>
      </c>
      <c r="G66" s="55">
        <f>IF(_Calc!$C$135&gt;0,INDEX('Lançamentos'!$E:$E,_Calc!$C$135),"")</f>
        <v/>
      </c>
      <c r="H66" s="56">
        <f>IF(_Calc!$D$150&gt;0,_Calc!$C$150,"")</f>
        <v/>
      </c>
      <c r="I66" s="43">
        <f>IF(_Calc!$D$150&gt;0,INDEX('Lançamentos'!$D:$D,_Calc!$D$150),"")</f>
        <v/>
      </c>
      <c r="J66" s="43" t="n"/>
      <c r="K66" s="43" t="n"/>
      <c r="L66" s="55">
        <f>IF(_Calc!$D$150&gt;0,INDEX('Lançamentos'!$E:$E,_Calc!$D$150),"")</f>
        <v/>
      </c>
      <c r="M66" s="47">
        <f>IF(_Calc!$D$150=0,"",IF(_Calc!$C$150&lt;HOJE,"Atrasada",IF(_Calc!$C$150=HOJE,"Vence hoje","No prazo")))</f>
        <v/>
      </c>
      <c r="N66" s="1" t="n"/>
    </row>
    <row r="67" ht="18" customHeight="1">
      <c r="A67" s="1" t="n"/>
      <c r="B67" s="53">
        <f>IF(_Calc!$C$136&gt;0,INDEX('Lançamentos'!$B:$B,_Calc!$C$136),"")</f>
        <v/>
      </c>
      <c r="C67" s="43">
        <f>IF(_Calc!$C$136&gt;0,INDEX('Lançamentos'!$D:$D,_Calc!$C$136),"")</f>
        <v/>
      </c>
      <c r="D67" s="43" t="n"/>
      <c r="E67" s="43" t="n"/>
      <c r="F67" s="54">
        <f>IF(_Calc!$C$136&gt;0,INDEX('Lançamentos'!$F:$F,_Calc!$C$136)&amp;"","")</f>
        <v/>
      </c>
      <c r="G67" s="55">
        <f>IF(_Calc!$C$136&gt;0,INDEX('Lançamentos'!$E:$E,_Calc!$C$136),"")</f>
        <v/>
      </c>
      <c r="H67" s="56">
        <f>IF(_Calc!$D$151&gt;0,_Calc!$C$151,"")</f>
        <v/>
      </c>
      <c r="I67" s="43">
        <f>IF(_Calc!$D$151&gt;0,INDEX('Lançamentos'!$D:$D,_Calc!$D$151),"")</f>
        <v/>
      </c>
      <c r="J67" s="43" t="n"/>
      <c r="K67" s="43" t="n"/>
      <c r="L67" s="55">
        <f>IF(_Calc!$D$151&gt;0,INDEX('Lançamentos'!$E:$E,_Calc!$D$151),"")</f>
        <v/>
      </c>
      <c r="M67" s="47">
        <f>IF(_Calc!$D$151=0,"",IF(_Calc!$C$151&lt;HOJE,"Atrasada",IF(_Calc!$C$151=HOJE,"Vence hoje","No prazo")))</f>
        <v/>
      </c>
      <c r="N67" s="1" t="n"/>
    </row>
    <row r="68" ht="18" customHeight="1">
      <c r="A68" s="1" t="n"/>
      <c r="B68" s="53">
        <f>IF(_Calc!$C$137&gt;0,INDEX('Lançamentos'!$B:$B,_Calc!$C$137),"")</f>
        <v/>
      </c>
      <c r="C68" s="43">
        <f>IF(_Calc!$C$137&gt;0,INDEX('Lançamentos'!$D:$D,_Calc!$C$137),"")</f>
        <v/>
      </c>
      <c r="D68" s="43" t="n"/>
      <c r="E68" s="43" t="n"/>
      <c r="F68" s="54">
        <f>IF(_Calc!$C$137&gt;0,INDEX('Lançamentos'!$F:$F,_Calc!$C$137)&amp;"","")</f>
        <v/>
      </c>
      <c r="G68" s="55">
        <f>IF(_Calc!$C$137&gt;0,INDEX('Lançamentos'!$E:$E,_Calc!$C$137),"")</f>
        <v/>
      </c>
      <c r="H68" s="56">
        <f>IF(_Calc!$D$152&gt;0,_Calc!$C$152,"")</f>
        <v/>
      </c>
      <c r="I68" s="43">
        <f>IF(_Calc!$D$152&gt;0,INDEX('Lançamentos'!$D:$D,_Calc!$D$152),"")</f>
        <v/>
      </c>
      <c r="J68" s="43" t="n"/>
      <c r="K68" s="43" t="n"/>
      <c r="L68" s="55">
        <f>IF(_Calc!$D$152&gt;0,INDEX('Lançamentos'!$E:$E,_Calc!$D$152),"")</f>
        <v/>
      </c>
      <c r="M68" s="47">
        <f>IF(_Calc!$D$152=0,"",IF(_Calc!$C$152&lt;HOJE,"Atrasada",IF(_Calc!$C$152=HOJE,"Vence hoje","No prazo")))</f>
        <v/>
      </c>
      <c r="N68" s="1" t="n"/>
    </row>
    <row r="69" ht="18" customHeight="1">
      <c r="A69" s="1" t="n"/>
      <c r="B69" s="53">
        <f>IF(_Calc!$C$138&gt;0,INDEX('Lançamentos'!$B:$B,_Calc!$C$138),"")</f>
        <v/>
      </c>
      <c r="C69" s="43">
        <f>IF(_Calc!$C$138&gt;0,INDEX('Lançamentos'!$D:$D,_Calc!$C$138),"")</f>
        <v/>
      </c>
      <c r="D69" s="43" t="n"/>
      <c r="E69" s="43" t="n"/>
      <c r="F69" s="54">
        <f>IF(_Calc!$C$138&gt;0,INDEX('Lançamentos'!$F:$F,_Calc!$C$138)&amp;"","")</f>
        <v/>
      </c>
      <c r="G69" s="55">
        <f>IF(_Calc!$C$138&gt;0,INDEX('Lançamentos'!$E:$E,_Calc!$C$138),"")</f>
        <v/>
      </c>
      <c r="H69" s="56">
        <f>IF(_Calc!$D$153&gt;0,_Calc!$C$153,"")</f>
        <v/>
      </c>
      <c r="I69" s="43">
        <f>IF(_Calc!$D$153&gt;0,INDEX('Lançamentos'!$D:$D,_Calc!$D$153),"")</f>
        <v/>
      </c>
      <c r="J69" s="43" t="n"/>
      <c r="K69" s="43" t="n"/>
      <c r="L69" s="55">
        <f>IF(_Calc!$D$153&gt;0,INDEX('Lançamentos'!$E:$E,_Calc!$D$153),"")</f>
        <v/>
      </c>
      <c r="M69" s="47">
        <f>IF(_Calc!$D$153=0,"",IF(_Calc!$C$153&lt;HOJE,"Atrasada",IF(_Calc!$C$153=HOJE,"Vence hoje","No prazo")))</f>
        <v/>
      </c>
      <c r="N69" s="1" t="n"/>
    </row>
    <row r="70" ht="18" customHeight="1">
      <c r="A70" s="1" t="n"/>
      <c r="B70" s="53">
        <f>IF(_Calc!$C$139&gt;0,INDEX('Lançamentos'!$B:$B,_Calc!$C$139),"")</f>
        <v/>
      </c>
      <c r="C70" s="43">
        <f>IF(_Calc!$C$139&gt;0,INDEX('Lançamentos'!$D:$D,_Calc!$C$139),"")</f>
        <v/>
      </c>
      <c r="D70" s="43" t="n"/>
      <c r="E70" s="43" t="n"/>
      <c r="F70" s="54">
        <f>IF(_Calc!$C$139&gt;0,INDEX('Lançamentos'!$F:$F,_Calc!$C$139)&amp;"","")</f>
        <v/>
      </c>
      <c r="G70" s="55">
        <f>IF(_Calc!$C$139&gt;0,INDEX('Lançamentos'!$E:$E,_Calc!$C$139),"")</f>
        <v/>
      </c>
      <c r="H70" s="56">
        <f>IF(_Calc!$D$154&gt;0,_Calc!$C$154,"")</f>
        <v/>
      </c>
      <c r="I70" s="43">
        <f>IF(_Calc!$D$154&gt;0,INDEX('Lançamentos'!$D:$D,_Calc!$D$154),"")</f>
        <v/>
      </c>
      <c r="J70" s="43" t="n"/>
      <c r="K70" s="43" t="n"/>
      <c r="L70" s="55">
        <f>IF(_Calc!$D$154&gt;0,INDEX('Lançamentos'!$E:$E,_Calc!$D$154),"")</f>
        <v/>
      </c>
      <c r="M70" s="47">
        <f>IF(_Calc!$D$154=0,"",IF(_Calc!$C$154&lt;HOJE,"Atrasada",IF(_Calc!$C$154=HOJE,"Vence hoje","No prazo")))</f>
        <v/>
      </c>
      <c r="N70" s="1" t="n"/>
    </row>
    <row r="71" ht="8" customHeight="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</row>
    <row r="72" ht="24" customHeight="1">
      <c r="A72" s="1" t="n"/>
      <c r="B72" s="38" t="inlineStr">
        <is>
          <t>Contas e cartões · saldo atual</t>
        </is>
      </c>
      <c r="C72" s="39" t="n"/>
      <c r="D72" s="39" t="n"/>
      <c r="E72" s="39" t="n"/>
      <c r="F72" s="39" t="n"/>
      <c r="G72" s="39" t="n"/>
      <c r="H72" s="38" t="inlineStr">
        <is>
          <t>Resumo do ano</t>
        </is>
      </c>
      <c r="I72" s="39" t="n"/>
      <c r="J72" s="39" t="n"/>
      <c r="K72" s="39" t="n"/>
      <c r="L72" s="39" t="n"/>
      <c r="M72" s="39" t="n"/>
      <c r="N72" s="1" t="n"/>
    </row>
    <row r="73" ht="20" customHeight="1">
      <c r="A73" s="1" t="n"/>
      <c r="B73" s="40" t="inlineStr">
        <is>
          <t>CONTA</t>
        </is>
      </c>
      <c r="C73" s="40" t="n"/>
      <c r="D73" s="40" t="inlineStr">
        <is>
          <t>TIPO</t>
        </is>
      </c>
      <c r="E73" s="40" t="n"/>
      <c r="F73" s="41" t="inlineStr">
        <is>
          <t>SALDO</t>
        </is>
      </c>
      <c r="G73" s="41" t="n"/>
      <c r="H73" s="40" t="inlineStr">
        <is>
          <t>INDICADOR</t>
        </is>
      </c>
      <c r="I73" s="40" t="n"/>
      <c r="J73" s="40" t="n"/>
      <c r="K73" s="40" t="n"/>
      <c r="L73" s="41" t="inlineStr">
        <is>
          <t>VALOR</t>
        </is>
      </c>
      <c r="M73" s="41" t="n"/>
      <c r="N73" s="1" t="n"/>
    </row>
    <row r="74" ht="18" customHeight="1">
      <c r="A74" s="1" t="n"/>
      <c r="B74" s="43">
        <f>IF(_Calc!$A$160="","",_Calc!$A$160)</f>
        <v/>
      </c>
      <c r="C74" s="43" t="n"/>
      <c r="D74" s="54">
        <f>IF(_Calc!$A$160="","",_Calc!$B$160)</f>
        <v/>
      </c>
      <c r="E74" s="54" t="n"/>
      <c r="F74" s="55">
        <f>IF(_Calc!$A$160="","",_Calc!$D$160)</f>
        <v/>
      </c>
      <c r="G74" s="55" t="n"/>
      <c r="H74" s="43" t="inlineStr">
        <is>
          <t>Receitas no ano</t>
        </is>
      </c>
      <c r="I74" s="43" t="n"/>
      <c r="J74" s="43" t="n"/>
      <c r="K74" s="43" t="n"/>
      <c r="L74" s="55">
        <f>_Calc!$G$190</f>
        <v/>
      </c>
      <c r="M74" s="55" t="n"/>
      <c r="N74" s="1" t="n"/>
    </row>
    <row r="75" ht="18" customHeight="1">
      <c r="A75" s="1" t="n"/>
      <c r="B75" s="43">
        <f>IF(_Calc!$A$161="","",_Calc!$A$161)</f>
        <v/>
      </c>
      <c r="C75" s="43" t="n"/>
      <c r="D75" s="54">
        <f>IF(_Calc!$A$161="","",_Calc!$B$161)</f>
        <v/>
      </c>
      <c r="E75" s="54" t="n"/>
      <c r="F75" s="55">
        <f>IF(_Calc!$A$161="","",_Calc!$D$161)</f>
        <v/>
      </c>
      <c r="G75" s="55" t="n"/>
      <c r="H75" s="43" t="inlineStr">
        <is>
          <t>Despesas no ano</t>
        </is>
      </c>
      <c r="I75" s="43" t="n"/>
      <c r="J75" s="43" t="n"/>
      <c r="K75" s="43" t="n"/>
      <c r="L75" s="55">
        <f>_Calc!$G$191</f>
        <v/>
      </c>
      <c r="M75" s="55" t="n"/>
      <c r="N75" s="1" t="n"/>
    </row>
    <row r="76" ht="18" customHeight="1">
      <c r="A76" s="1" t="n"/>
      <c r="B76" s="43">
        <f>IF(_Calc!$A$162="","",_Calc!$A$162)</f>
        <v/>
      </c>
      <c r="C76" s="43" t="n"/>
      <c r="D76" s="54">
        <f>IF(_Calc!$A$162="","",_Calc!$B$162)</f>
        <v/>
      </c>
      <c r="E76" s="54" t="n"/>
      <c r="F76" s="55">
        <f>IF(_Calc!$A$162="","",_Calc!$D$162)</f>
        <v/>
      </c>
      <c r="G76" s="55" t="n"/>
      <c r="H76" s="43" t="inlineStr">
        <is>
          <t>Resultado no ano</t>
        </is>
      </c>
      <c r="I76" s="43" t="n"/>
      <c r="J76" s="43" t="n"/>
      <c r="K76" s="43" t="n"/>
      <c r="L76" s="55">
        <f>_Calc!$G$192</f>
        <v/>
      </c>
      <c r="M76" s="55" t="n"/>
      <c r="N76" s="1" t="n"/>
    </row>
    <row r="77" ht="18" customHeight="1">
      <c r="A77" s="1" t="n"/>
      <c r="B77" s="43">
        <f>IF(_Calc!$A$163="","",_Calc!$A$163)</f>
        <v/>
      </c>
      <c r="C77" s="43" t="n"/>
      <c r="D77" s="54">
        <f>IF(_Calc!$A$163="","",_Calc!$B$163)</f>
        <v/>
      </c>
      <c r="E77" s="54" t="n"/>
      <c r="F77" s="55">
        <f>IF(_Calc!$A$163="","",_Calc!$D$163)</f>
        <v/>
      </c>
      <c r="G77" s="55" t="n"/>
      <c r="H77" s="43" t="inlineStr">
        <is>
          <t>Média mensal de despesas</t>
        </is>
      </c>
      <c r="I77" s="43" t="n"/>
      <c r="J77" s="43" t="n"/>
      <c r="K77" s="43" t="n"/>
      <c r="L77" s="55">
        <f>_Calc!$G$193</f>
        <v/>
      </c>
      <c r="M77" s="55" t="n"/>
      <c r="N77" s="1" t="n"/>
    </row>
    <row r="78" ht="18" customHeight="1">
      <c r="A78" s="1" t="n"/>
      <c r="B78" s="43">
        <f>IF(_Calc!$A$164="","",_Calc!$A$164)</f>
        <v/>
      </c>
      <c r="C78" s="43" t="n"/>
      <c r="D78" s="54">
        <f>IF(_Calc!$A$164="","",_Calc!$B$164)</f>
        <v/>
      </c>
      <c r="E78" s="54" t="n"/>
      <c r="F78" s="55">
        <f>IF(_Calc!$A$164="","",_Calc!$D$164)</f>
        <v/>
      </c>
      <c r="G78" s="55" t="n"/>
      <c r="H78" s="43" t="inlineStr">
        <is>
          <t>Mês de maior despesa</t>
        </is>
      </c>
      <c r="I78" s="43" t="n"/>
      <c r="J78" s="43" t="n"/>
      <c r="K78" s="43" t="n"/>
      <c r="L78" s="57">
        <f>_Calc!$G$194&amp;IF(_Calc!$G$195&gt;0," · "&amp;TEXT(_Calc!$G$195,"#,##0.00"),"")</f>
        <v/>
      </c>
      <c r="M78" s="57" t="n"/>
      <c r="N78" s="1" t="n"/>
    </row>
    <row r="79" ht="18" customHeight="1">
      <c r="A79" s="1" t="n"/>
      <c r="B79" s="43">
        <f>IF(_Calc!$A$165="","",_Calc!$A$165)</f>
        <v/>
      </c>
      <c r="C79" s="43" t="n"/>
      <c r="D79" s="54">
        <f>IF(_Calc!$A$165="","",_Calc!$B$165)</f>
        <v/>
      </c>
      <c r="E79" s="54" t="n"/>
      <c r="F79" s="55">
        <f>IF(_Calc!$A$165="","",_Calc!$D$165)</f>
        <v/>
      </c>
      <c r="G79" s="55" t="n"/>
      <c r="H79" s="43" t="inlineStr">
        <is>
          <t>Mês de maior economia</t>
        </is>
      </c>
      <c r="I79" s="43" t="n"/>
      <c r="J79" s="43" t="n"/>
      <c r="K79" s="43" t="n"/>
      <c r="L79" s="57">
        <f>_Calc!$G$196&amp;IF(_Calc!$G$197&gt;0," · "&amp;TEXT(_Calc!$G$197,"#,##0.00"),"")</f>
        <v/>
      </c>
      <c r="M79" s="57" t="n"/>
      <c r="N79" s="1" t="n"/>
    </row>
    <row r="80" ht="18" customHeight="1">
      <c r="A80" s="1" t="n"/>
      <c r="B80" s="43">
        <f>IF(_Calc!$A$166="","",_Calc!$A$166)</f>
        <v/>
      </c>
      <c r="C80" s="43" t="n"/>
      <c r="D80" s="54">
        <f>IF(_Calc!$A$166="","",_Calc!$B$166)</f>
        <v/>
      </c>
      <c r="E80" s="54" t="n"/>
      <c r="F80" s="55">
        <f>IF(_Calc!$A$166="","",_Calc!$D$166)</f>
        <v/>
      </c>
      <c r="G80" s="55" t="n"/>
      <c r="H80" s="1" t="n"/>
      <c r="I80" s="1" t="n"/>
      <c r="J80" s="1" t="n"/>
      <c r="K80" s="1" t="n"/>
      <c r="L80" s="1" t="n"/>
      <c r="M80" s="1" t="n"/>
      <c r="N80" s="1" t="n"/>
    </row>
    <row r="81" ht="18" customHeight="1">
      <c r="A81" s="1" t="n"/>
      <c r="B81" s="43">
        <f>IF(_Calc!$A$167="","",_Calc!$A$167)</f>
        <v/>
      </c>
      <c r="C81" s="43" t="n"/>
      <c r="D81" s="54">
        <f>IF(_Calc!$A$167="","",_Calc!$B$167)</f>
        <v/>
      </c>
      <c r="E81" s="54" t="n"/>
      <c r="F81" s="55">
        <f>IF(_Calc!$A$167="","",_Calc!$D$167)</f>
        <v/>
      </c>
      <c r="G81" s="55" t="n"/>
      <c r="H81" s="1" t="n"/>
      <c r="I81" s="1" t="n"/>
      <c r="J81" s="1" t="n"/>
      <c r="K81" s="1" t="n"/>
      <c r="L81" s="1" t="n"/>
      <c r="M81" s="1" t="n"/>
      <c r="N81" s="1" t="n"/>
    </row>
    <row r="82" ht="8" customHeight="1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</row>
    <row r="83">
      <c r="A83" s="1" t="n"/>
      <c r="B83" s="58" t="inlineStr">
        <is>
          <t>Painel gerado por fórmulas a partir da aba Lançamentos. Não edite as fórmulas: altere apenas os filtros do topo. Dados de lançamentos são mantidos pelo app Orange Finance.</t>
        </is>
      </c>
      <c r="C83" s="59" t="n"/>
      <c r="D83" s="59" t="n"/>
      <c r="E83" s="59" t="n"/>
      <c r="F83" s="59" t="n"/>
      <c r="G83" s="59" t="n"/>
      <c r="H83" s="59" t="n"/>
      <c r="I83" s="59" t="n"/>
      <c r="J83" s="59" t="n"/>
      <c r="K83" s="59" t="n"/>
      <c r="L83" s="59" t="n"/>
      <c r="M83" s="59" t="n"/>
      <c r="N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</row>
  </sheetData>
  <mergeCells count="295">
    <mergeCell ref="H53:I53"/>
    <mergeCell ref="G65"/>
    <mergeCell ref="L60"/>
    <mergeCell ref="E26"/>
    <mergeCell ref="F29:G29"/>
    <mergeCell ref="G51"/>
    <mergeCell ref="E57"/>
    <mergeCell ref="L69"/>
    <mergeCell ref="F25:G25"/>
    <mergeCell ref="J50"/>
    <mergeCell ref="B22:C22"/>
    <mergeCell ref="D76:E76"/>
    <mergeCell ref="G63"/>
    <mergeCell ref="L75:M75"/>
    <mergeCell ref="F49"/>
    <mergeCell ref="H76:K76"/>
    <mergeCell ref="E15:G15"/>
    <mergeCell ref="D29"/>
    <mergeCell ref="G50"/>
    <mergeCell ref="D23"/>
    <mergeCell ref="D54"/>
    <mergeCell ref="M66"/>
    <mergeCell ref="D6:E6"/>
    <mergeCell ref="J52"/>
    <mergeCell ref="B21:C21"/>
    <mergeCell ref="C60:E60"/>
    <mergeCell ref="B77:C77"/>
    <mergeCell ref="M53"/>
    <mergeCell ref="D77:E77"/>
    <mergeCell ref="L61"/>
    <mergeCell ref="B62"/>
    <mergeCell ref="F64"/>
    <mergeCell ref="F80:G80"/>
    <mergeCell ref="G52"/>
    <mergeCell ref="F65"/>
    <mergeCell ref="M68"/>
    <mergeCell ref="B3:H3"/>
    <mergeCell ref="H56:M57"/>
    <mergeCell ref="H52:I52"/>
    <mergeCell ref="F79:G79"/>
    <mergeCell ref="E16:G16"/>
    <mergeCell ref="M52"/>
    <mergeCell ref="I63:K63"/>
    <mergeCell ref="E10:G11"/>
    <mergeCell ref="B78:C78"/>
    <mergeCell ref="D78:E78"/>
    <mergeCell ref="B70"/>
    <mergeCell ref="F23:G23"/>
    <mergeCell ref="F81:G81"/>
    <mergeCell ref="H64"/>
    <mergeCell ref="D57"/>
    <mergeCell ref="B2:H2"/>
    <mergeCell ref="E19"/>
    <mergeCell ref="F51"/>
    <mergeCell ref="I65:K65"/>
    <mergeCell ref="L79:M79"/>
    <mergeCell ref="E28"/>
    <mergeCell ref="K16:M16"/>
    <mergeCell ref="D27"/>
    <mergeCell ref="B49:C49"/>
    <mergeCell ref="H60"/>
    <mergeCell ref="B55:C55"/>
    <mergeCell ref="B24:C24"/>
    <mergeCell ref="H70"/>
    <mergeCell ref="B7:M7"/>
    <mergeCell ref="F50"/>
    <mergeCell ref="B59:G59"/>
    <mergeCell ref="G69"/>
    <mergeCell ref="K9:M9"/>
    <mergeCell ref="L64"/>
    <mergeCell ref="B51:C51"/>
    <mergeCell ref="D73:E73"/>
    <mergeCell ref="H79:K79"/>
    <mergeCell ref="L51"/>
    <mergeCell ref="J54"/>
    <mergeCell ref="L54"/>
    <mergeCell ref="B26:C26"/>
    <mergeCell ref="L63"/>
    <mergeCell ref="L50"/>
    <mergeCell ref="H59:M59"/>
    <mergeCell ref="B65"/>
    <mergeCell ref="F67"/>
    <mergeCell ref="G55"/>
    <mergeCell ref="B25:C25"/>
    <mergeCell ref="G64"/>
    <mergeCell ref="B68"/>
    <mergeCell ref="H5:M6"/>
    <mergeCell ref="F19:G19"/>
    <mergeCell ref="D25"/>
    <mergeCell ref="H54:I54"/>
    <mergeCell ref="F6:G6"/>
    <mergeCell ref="E54"/>
    <mergeCell ref="D55"/>
    <mergeCell ref="H50:I50"/>
    <mergeCell ref="G54"/>
    <mergeCell ref="K12:M12"/>
    <mergeCell ref="B27:C27"/>
    <mergeCell ref="L49"/>
    <mergeCell ref="L52"/>
    <mergeCell ref="F74:G74"/>
    <mergeCell ref="H16:J16"/>
    <mergeCell ref="H72:M72"/>
    <mergeCell ref="I62:K62"/>
    <mergeCell ref="H10:J11"/>
    <mergeCell ref="D20"/>
    <mergeCell ref="H32:M32"/>
    <mergeCell ref="E56"/>
    <mergeCell ref="G56"/>
    <mergeCell ref="K14:M14"/>
    <mergeCell ref="F5:G5"/>
    <mergeCell ref="F20:G20"/>
    <mergeCell ref="K49"/>
    <mergeCell ref="H49:I49"/>
    <mergeCell ref="B9:D9"/>
    <mergeCell ref="C61:E61"/>
    <mergeCell ref="F69"/>
    <mergeCell ref="C70:E70"/>
    <mergeCell ref="H67"/>
    <mergeCell ref="F76:G76"/>
    <mergeCell ref="E24"/>
    <mergeCell ref="I64:K64"/>
    <mergeCell ref="L67"/>
    <mergeCell ref="B83:M83"/>
    <mergeCell ref="D22"/>
    <mergeCell ref="B53:C53"/>
    <mergeCell ref="D75:E75"/>
    <mergeCell ref="F75:G75"/>
    <mergeCell ref="B29:C29"/>
    <mergeCell ref="M70"/>
    <mergeCell ref="H18:M18"/>
    <mergeCell ref="D21"/>
    <mergeCell ref="F55"/>
    <mergeCell ref="F28:G28"/>
    <mergeCell ref="J53"/>
    <mergeCell ref="M54"/>
    <mergeCell ref="G57"/>
    <mergeCell ref="G66"/>
    <mergeCell ref="L62"/>
    <mergeCell ref="G53"/>
    <mergeCell ref="B6:C6"/>
    <mergeCell ref="F70"/>
    <mergeCell ref="H61"/>
    <mergeCell ref="B80:C80"/>
    <mergeCell ref="G68"/>
    <mergeCell ref="E49"/>
    <mergeCell ref="B79:C79"/>
    <mergeCell ref="D79:E79"/>
    <mergeCell ref="C63:E63"/>
    <mergeCell ref="H75:K75"/>
    <mergeCell ref="F56"/>
    <mergeCell ref="F73:G73"/>
    <mergeCell ref="B54:C54"/>
    <mergeCell ref="B14:D14"/>
    <mergeCell ref="H65"/>
    <mergeCell ref="M61"/>
    <mergeCell ref="I66:K66"/>
    <mergeCell ref="K53"/>
    <mergeCell ref="F52"/>
    <mergeCell ref="B64"/>
    <mergeCell ref="B81:C81"/>
    <mergeCell ref="D81:E81"/>
    <mergeCell ref="M62"/>
    <mergeCell ref="E9:G9"/>
    <mergeCell ref="D51"/>
    <mergeCell ref="B56:C56"/>
    <mergeCell ref="E22"/>
    <mergeCell ref="F60"/>
    <mergeCell ref="B63"/>
    <mergeCell ref="L65"/>
    <mergeCell ref="I68:K68"/>
    <mergeCell ref="F21:G21"/>
    <mergeCell ref="B52:C52"/>
    <mergeCell ref="F57"/>
    <mergeCell ref="D50"/>
    <mergeCell ref="I67:K67"/>
    <mergeCell ref="E21"/>
    <mergeCell ref="F53"/>
    <mergeCell ref="D19"/>
    <mergeCell ref="F63"/>
    <mergeCell ref="H63"/>
    <mergeCell ref="B57:C57"/>
    <mergeCell ref="B66"/>
    <mergeCell ref="C67:E67"/>
    <mergeCell ref="F68"/>
    <mergeCell ref="L74:M74"/>
    <mergeCell ref="H48:M48"/>
    <mergeCell ref="H15:J15"/>
    <mergeCell ref="E23"/>
    <mergeCell ref="G70"/>
    <mergeCell ref="L66"/>
    <mergeCell ref="L53"/>
    <mergeCell ref="M64"/>
    <mergeCell ref="B19:C19"/>
    <mergeCell ref="K51"/>
    <mergeCell ref="M51"/>
    <mergeCell ref="B28:C28"/>
    <mergeCell ref="C69:E69"/>
    <mergeCell ref="B32:G32"/>
    <mergeCell ref="E51"/>
    <mergeCell ref="E12:G12"/>
    <mergeCell ref="F22:G22"/>
    <mergeCell ref="M60"/>
    <mergeCell ref="L68"/>
    <mergeCell ref="H74:K74"/>
    <mergeCell ref="L76:M76"/>
    <mergeCell ref="J49"/>
    <mergeCell ref="B67"/>
    <mergeCell ref="K50"/>
    <mergeCell ref="G62"/>
    <mergeCell ref="B61"/>
    <mergeCell ref="K15:M15"/>
    <mergeCell ref="C62:E62"/>
    <mergeCell ref="B72:G72"/>
    <mergeCell ref="F77:G77"/>
    <mergeCell ref="E14:G14"/>
    <mergeCell ref="G49"/>
    <mergeCell ref="M65"/>
    <mergeCell ref="H69"/>
    <mergeCell ref="B5:C5"/>
    <mergeCell ref="B20:C20"/>
    <mergeCell ref="F62"/>
    <mergeCell ref="D5:E5"/>
    <mergeCell ref="B69"/>
    <mergeCell ref="K52"/>
    <mergeCell ref="I70:K70"/>
    <mergeCell ref="B76:C76"/>
    <mergeCell ref="C64:E64"/>
    <mergeCell ref="H9:J9"/>
    <mergeCell ref="B18:G18"/>
    <mergeCell ref="B12:D12"/>
    <mergeCell ref="L77:M77"/>
    <mergeCell ref="E27"/>
    <mergeCell ref="B75:C75"/>
    <mergeCell ref="D56"/>
    <mergeCell ref="F61"/>
    <mergeCell ref="F78:G78"/>
    <mergeCell ref="K10:M11"/>
    <mergeCell ref="H77:K77"/>
    <mergeCell ref="E25"/>
    <mergeCell ref="D24"/>
    <mergeCell ref="J51"/>
    <mergeCell ref="D80:E80"/>
    <mergeCell ref="H62"/>
    <mergeCell ref="M63"/>
    <mergeCell ref="G60"/>
    <mergeCell ref="L78:M78"/>
    <mergeCell ref="E53"/>
    <mergeCell ref="M50"/>
    <mergeCell ref="F24:G24"/>
    <mergeCell ref="L70"/>
    <mergeCell ref="D26"/>
    <mergeCell ref="E50"/>
    <mergeCell ref="B23:C23"/>
    <mergeCell ref="H51:I51"/>
    <mergeCell ref="H12:J12"/>
    <mergeCell ref="E55"/>
    <mergeCell ref="F54"/>
    <mergeCell ref="B15:D15"/>
    <mergeCell ref="F26:G26"/>
    <mergeCell ref="M67"/>
    <mergeCell ref="H78:K78"/>
    <mergeCell ref="E52"/>
    <mergeCell ref="M49"/>
    <mergeCell ref="B73:C73"/>
    <mergeCell ref="G67"/>
    <mergeCell ref="K54"/>
    <mergeCell ref="G61"/>
    <mergeCell ref="C66:E66"/>
    <mergeCell ref="L73:M73"/>
    <mergeCell ref="H14:J14"/>
    <mergeCell ref="E20"/>
    <mergeCell ref="D52"/>
    <mergeCell ref="I60:K60"/>
    <mergeCell ref="M69"/>
    <mergeCell ref="E29"/>
    <mergeCell ref="H68"/>
    <mergeCell ref="I69:K69"/>
    <mergeCell ref="D49"/>
    <mergeCell ref="I2:M3"/>
    <mergeCell ref="C68:E68"/>
    <mergeCell ref="H73:K73"/>
    <mergeCell ref="F27:G27"/>
    <mergeCell ref="B60"/>
    <mergeCell ref="B16:D16"/>
    <mergeCell ref="B74:C74"/>
    <mergeCell ref="B10:D11"/>
    <mergeCell ref="D74:E74"/>
    <mergeCell ref="F66"/>
    <mergeCell ref="D53"/>
    <mergeCell ref="I61:K61"/>
    <mergeCell ref="B50:C50"/>
    <mergeCell ref="D28"/>
    <mergeCell ref="B48:G48"/>
    <mergeCell ref="C65:E65"/>
    <mergeCell ref="H66"/>
  </mergeCells>
  <conditionalFormatting sqref="H10">
    <cfRule type="expression" priority="1" dxfId="0">
      <formula>$H$10&lt;0</formula>
    </cfRule>
    <cfRule type="expression" priority="2" dxfId="1">
      <formula>$H$10&gt;=0</formula>
    </cfRule>
  </conditionalFormatting>
  <conditionalFormatting sqref="B12">
    <cfRule type="expression" priority="3" dxfId="2">
      <formula>LEFT($B$12,1)="▲"</formula>
    </cfRule>
    <cfRule type="expression" priority="4" dxfId="3">
      <formula>LEFT($B$12,1)="▼"</formula>
    </cfRule>
  </conditionalFormatting>
  <conditionalFormatting sqref="E12">
    <cfRule type="expression" priority="5" dxfId="3">
      <formula>LEFT($E$12,1)="▲"</formula>
    </cfRule>
    <cfRule type="expression" priority="6" dxfId="2">
      <formula>LEFT($E$12,1)="▼"</formula>
    </cfRule>
  </conditionalFormatting>
  <conditionalFormatting sqref="H15">
    <cfRule type="expression" priority="7" dxfId="4">
      <formula>_Calc!$E$7&gt;0</formula>
    </cfRule>
  </conditionalFormatting>
  <conditionalFormatting sqref="F50:G57">
    <cfRule type="expression" priority="8" dxfId="5">
      <formula>AND($B50&lt;&gt;"",$F50&gt;=1)</formula>
    </cfRule>
    <cfRule type="expression" priority="9" dxfId="6">
      <formula>AND($B50&lt;&gt;"",$F50&gt;=0.8,$F50&lt;1)</formula>
    </cfRule>
    <cfRule type="expression" priority="10" dxfId="7">
      <formula>AND($B50&lt;&gt;"",$F50&lt;0.8)</formula>
    </cfRule>
  </conditionalFormatting>
  <conditionalFormatting sqref="M61:M70">
    <cfRule type="expression" priority="11" dxfId="5">
      <formula>$M61="Atrasada"</formula>
    </cfRule>
    <cfRule type="expression" priority="12" dxfId="6">
      <formula>$M61="Vence hoje"</formula>
    </cfRule>
    <cfRule type="expression" priority="13" dxfId="7">
      <formula>$M61="No prazo"</formula>
    </cfRule>
  </conditionalFormatting>
  <conditionalFormatting sqref="F74:G81">
    <cfRule type="expression" priority="14" dxfId="8">
      <formula>AND(ISNUMBER($F74),$F74&lt;0)</formula>
    </cfRule>
  </conditionalFormatting>
  <conditionalFormatting sqref="L76:M76">
    <cfRule type="expression" priority="15" dxfId="8">
      <formula>$L$76&lt;0</formula>
    </cfRule>
  </conditionalFormatting>
  <dataValidations count="3">
    <dataValidation sqref="B6" showDropDown="0" showInputMessage="0" showErrorMessage="0" allowBlank="0" type="list">
      <formula1>='_Listas'!$A$2:$A$27</formula1>
    </dataValidation>
    <dataValidation sqref="D6" showDropDown="0" showInputMessage="0" showErrorMessage="0" allowBlank="0" type="list">
      <formula1>='_Listas'!$B$2:$B$13</formula1>
    </dataValidation>
    <dataValidation sqref="F6" showDropDown="0" showInputMessage="0" showErrorMessage="0" allowBlank="0" type="list">
      <formula1>='_Listas'!$D$2:$D$14</formula1>
    </dataValidation>
  </dataValidations>
  <pageMargins left="0.75" right="0.75" top="1" bottom="1" header="0.5" footer="0.5"/>
  <pageSetup orientation="portrait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FF7A1A"/>
    <outlinePr summaryBelow="1" summaryRight="1"/>
    <pageSetUpPr/>
  </sheetPr>
  <dimension ref="A1:U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hidden="1" width="12" customWidth="1" min="1" max="1"/>
    <col width="12" customWidth="1" style="60" min="2" max="2"/>
    <col width="14" customWidth="1" min="3" max="3"/>
    <col width="30" customWidth="1" min="4" max="4"/>
    <col width="14" customWidth="1" style="61" min="5" max="5"/>
    <col width="20" customWidth="1" min="6" max="6"/>
    <col width="20" customWidth="1" min="7" max="7"/>
    <col width="20" customWidth="1" min="8" max="8"/>
    <col hidden="1" width="14" customWidth="1" min="9" max="9"/>
    <col width="11" customWidth="1" min="10" max="10"/>
    <col width="28" customWidth="1" min="11" max="11"/>
    <col hidden="1" outlineLevel="1" width="12" customWidth="1" min="12" max="21"/>
  </cols>
  <sheetData>
    <row r="1" ht="22" customHeight="1">
      <c r="A1" s="62" t="inlineStr">
        <is>
          <t>id</t>
        </is>
      </c>
      <c r="B1" s="62" t="inlineStr">
        <is>
          <t>data</t>
        </is>
      </c>
      <c r="C1" s="62" t="inlineStr">
        <is>
          <t>tipo</t>
        </is>
      </c>
      <c r="D1" s="62" t="inlineStr">
        <is>
          <t>descricao</t>
        </is>
      </c>
      <c r="E1" s="62" t="inlineStr">
        <is>
          <t>valor</t>
        </is>
      </c>
      <c r="F1" s="62" t="inlineStr">
        <is>
          <t>categoria</t>
        </is>
      </c>
      <c r="G1" s="62" t="inlineStr">
        <is>
          <t>conta</t>
        </is>
      </c>
      <c r="H1" s="62" t="inlineStr">
        <is>
          <t>conta_destino</t>
        </is>
      </c>
      <c r="I1" s="62" t="inlineStr">
        <is>
          <t>titular</t>
        </is>
      </c>
      <c r="J1" s="62" t="inlineStr">
        <is>
          <t>status</t>
        </is>
      </c>
      <c r="K1" s="62" t="inlineStr">
        <is>
          <t>observacoes</t>
        </is>
      </c>
      <c r="L1" s="62" t="inlineStr">
        <is>
          <t>serie_id</t>
        </is>
      </c>
      <c r="M1" s="62" t="inlineStr">
        <is>
          <t>parcela_n</t>
        </is>
      </c>
      <c r="N1" s="62" t="inlineStr">
        <is>
          <t>parcelas_total</t>
        </is>
      </c>
      <c r="O1" s="62" t="inlineStr">
        <is>
          <t>frequencia</t>
        </is>
      </c>
      <c r="P1" s="62" t="inlineStr">
        <is>
          <t>ciclo_fatura</t>
        </is>
      </c>
      <c r="Q1" s="62" t="inlineStr">
        <is>
          <t>origem</t>
        </is>
      </c>
      <c r="R1" s="62" t="inlineStr">
        <is>
          <t>criado_em</t>
        </is>
      </c>
      <c r="S1" s="62" t="inlineStr">
        <is>
          <t>atualizado_em</t>
        </is>
      </c>
      <c r="T1" s="62" t="inlineStr">
        <is>
          <t>excluido_em</t>
        </is>
      </c>
      <c r="U1" s="62" t="inlineStr">
        <is>
          <t>rev</t>
        </is>
      </c>
    </row>
    <row r="2">
      <c r="A2" s="63" t="inlineStr">
        <is>
          <t>ced66b44-7f45-b096-d380-1b73c446ab8c</t>
        </is>
      </c>
      <c r="B2" s="64" t="n">
        <v>46235</v>
      </c>
      <c r="C2" s="63" t="inlineStr">
        <is>
          <t>Despesa</t>
        </is>
      </c>
      <c r="D2" s="63" t="inlineStr">
        <is>
          <t>Curso de idiomas</t>
        </is>
      </c>
      <c r="E2" s="65" t="n">
        <v>189</v>
      </c>
      <c r="F2" s="63" t="inlineStr">
        <is>
          <t>Educação</t>
        </is>
      </c>
      <c r="G2" s="63" t="inlineStr">
        <is>
          <t>Conta corrente</t>
        </is>
      </c>
      <c r="H2" s="63" t="n"/>
      <c r="I2" s="63" t="n"/>
      <c r="J2" s="63" t="inlineStr">
        <is>
          <t>Pago</t>
        </is>
      </c>
      <c r="K2" s="63" t="n"/>
      <c r="L2" s="63" t="n"/>
      <c r="M2" s="63" t="n"/>
      <c r="N2" s="63" t="n"/>
      <c r="O2" s="63" t="n"/>
      <c r="P2" s="63" t="n"/>
      <c r="Q2" s="63" t="inlineStr">
        <is>
          <t>exemplo</t>
        </is>
      </c>
      <c r="R2" s="63" t="inlineStr">
        <is>
          <t>2026-10-17T12:00:00Z</t>
        </is>
      </c>
      <c r="S2" s="63" t="inlineStr">
        <is>
          <t>2026-10-17T12:00:00Z</t>
        </is>
      </c>
      <c r="T2" s="63" t="n"/>
      <c r="U2" s="63" t="n">
        <v>1</v>
      </c>
    </row>
    <row r="3">
      <c r="A3" s="63" t="inlineStr">
        <is>
          <t>5b4c8012-ede7-bd0c-ffb8-8309fadb8908</t>
        </is>
      </c>
      <c r="B3" s="64" t="n">
        <v>46236</v>
      </c>
      <c r="C3" s="63" t="inlineStr">
        <is>
          <t>Despesa</t>
        </is>
      </c>
      <c r="D3" s="63" t="inlineStr">
        <is>
          <t>Mercado</t>
        </is>
      </c>
      <c r="E3" s="65" t="n">
        <v>412.8</v>
      </c>
      <c r="F3" s="63" t="inlineStr">
        <is>
          <t>Mercado</t>
        </is>
      </c>
      <c r="G3" s="63" t="inlineStr">
        <is>
          <t>Cartão de crédito</t>
        </is>
      </c>
      <c r="H3" s="63" t="n"/>
      <c r="I3" s="63" t="n"/>
      <c r="J3" s="63" t="inlineStr">
        <is>
          <t>Pago</t>
        </is>
      </c>
      <c r="K3" s="63" t="n"/>
      <c r="L3" s="63" t="n"/>
      <c r="M3" s="63" t="n"/>
      <c r="N3" s="63" t="n"/>
      <c r="O3" s="63" t="n"/>
      <c r="P3" s="64" t="n">
        <v>46262</v>
      </c>
      <c r="Q3" s="63" t="inlineStr">
        <is>
          <t>exemplo</t>
        </is>
      </c>
      <c r="R3" s="63" t="inlineStr">
        <is>
          <t>2026-10-17T12:00:00Z</t>
        </is>
      </c>
      <c r="S3" s="63" t="inlineStr">
        <is>
          <t>2026-10-17T12:00:00Z</t>
        </is>
      </c>
      <c r="T3" s="63" t="n"/>
      <c r="U3" s="63" t="n">
        <v>1</v>
      </c>
    </row>
    <row r="4">
      <c r="A4" s="63" t="inlineStr">
        <is>
          <t>e060a724-2411-4258-751b-4c8349a047dc</t>
        </is>
      </c>
      <c r="B4" s="64" t="n">
        <v>46237</v>
      </c>
      <c r="C4" s="63" t="inlineStr">
        <is>
          <t>Despesa</t>
        </is>
      </c>
      <c r="D4" s="63" t="inlineStr">
        <is>
          <t>Padaria</t>
        </is>
      </c>
      <c r="E4" s="65" t="n">
        <v>24.5</v>
      </c>
      <c r="F4" s="63" t="inlineStr">
        <is>
          <t>Alimentação</t>
        </is>
      </c>
      <c r="G4" s="63" t="inlineStr">
        <is>
          <t>Carteira</t>
        </is>
      </c>
      <c r="H4" s="63" t="n"/>
      <c r="I4" s="63" t="n"/>
      <c r="J4" s="63" t="inlineStr">
        <is>
          <t>Pago</t>
        </is>
      </c>
      <c r="K4" s="63" t="n"/>
      <c r="L4" s="63" t="n"/>
      <c r="M4" s="63" t="n"/>
      <c r="N4" s="63" t="n"/>
      <c r="O4" s="63" t="n"/>
      <c r="P4" s="63" t="n"/>
      <c r="Q4" s="63" t="inlineStr">
        <is>
          <t>exemplo</t>
        </is>
      </c>
      <c r="R4" s="63" t="inlineStr">
        <is>
          <t>2026-10-17T12:00:00Z</t>
        </is>
      </c>
      <c r="S4" s="63" t="inlineStr">
        <is>
          <t>2026-10-17T12:00:00Z</t>
        </is>
      </c>
      <c r="T4" s="63" t="n"/>
      <c r="U4" s="63" t="n">
        <v>1</v>
      </c>
    </row>
    <row r="5">
      <c r="A5" s="63" t="inlineStr">
        <is>
          <t>5071950e-adec-6f11-7d83-6e77af67d461</t>
        </is>
      </c>
      <c r="B5" s="64" t="n">
        <v>46237</v>
      </c>
      <c r="C5" s="63" t="inlineStr">
        <is>
          <t>Despesa</t>
        </is>
      </c>
      <c r="D5" s="63" t="inlineStr">
        <is>
          <t>Streaming de vídeo</t>
        </is>
      </c>
      <c r="E5" s="65" t="n">
        <v>55.9</v>
      </c>
      <c r="F5" s="63" t="inlineStr">
        <is>
          <t>Assinaturas</t>
        </is>
      </c>
      <c r="G5" s="63" t="inlineStr">
        <is>
          <t>Cartão de crédito</t>
        </is>
      </c>
      <c r="H5" s="63" t="n"/>
      <c r="I5" s="63" t="n"/>
      <c r="J5" s="63" t="inlineStr">
        <is>
          <t>Pago</t>
        </is>
      </c>
      <c r="K5" s="63" t="n"/>
      <c r="L5" s="63" t="n"/>
      <c r="M5" s="63" t="n"/>
      <c r="N5" s="63" t="n"/>
      <c r="O5" s="63" t="n"/>
      <c r="P5" s="64" t="n">
        <v>46262</v>
      </c>
      <c r="Q5" s="63" t="inlineStr">
        <is>
          <t>exemplo</t>
        </is>
      </c>
      <c r="R5" s="63" t="inlineStr">
        <is>
          <t>2026-10-17T12:00:00Z</t>
        </is>
      </c>
      <c r="S5" s="63" t="inlineStr">
        <is>
          <t>2026-10-17T12:00:00Z</t>
        </is>
      </c>
      <c r="T5" s="63" t="n"/>
      <c r="U5" s="63" t="n">
        <v>1</v>
      </c>
    </row>
    <row r="6">
      <c r="A6" s="63" t="inlineStr">
        <is>
          <t>59001ac9-4063-29bc-65b0-0a2d35d14880</t>
        </is>
      </c>
      <c r="B6" s="64" t="n">
        <v>46238</v>
      </c>
      <c r="C6" s="63" t="inlineStr">
        <is>
          <t>Despesa</t>
        </is>
      </c>
      <c r="D6" s="63" t="inlineStr">
        <is>
          <t>Streaming de música</t>
        </is>
      </c>
      <c r="E6" s="65" t="n">
        <v>21.9</v>
      </c>
      <c r="F6" s="63" t="inlineStr">
        <is>
          <t>Assinaturas</t>
        </is>
      </c>
      <c r="G6" s="63" t="inlineStr">
        <is>
          <t>Cartão de crédito</t>
        </is>
      </c>
      <c r="H6" s="63" t="n"/>
      <c r="I6" s="63" t="n"/>
      <c r="J6" s="63" t="inlineStr">
        <is>
          <t>Pago</t>
        </is>
      </c>
      <c r="K6" s="63" t="n"/>
      <c r="L6" s="63" t="n"/>
      <c r="M6" s="63" t="n"/>
      <c r="N6" s="63" t="n"/>
      <c r="O6" s="63" t="n"/>
      <c r="P6" s="64" t="n">
        <v>46262</v>
      </c>
      <c r="Q6" s="63" t="inlineStr">
        <is>
          <t>exemplo</t>
        </is>
      </c>
      <c r="R6" s="63" t="inlineStr">
        <is>
          <t>2026-10-17T12:00:00Z</t>
        </is>
      </c>
      <c r="S6" s="63" t="inlineStr">
        <is>
          <t>2026-10-17T12:00:00Z</t>
        </is>
      </c>
      <c r="T6" s="63" t="n"/>
      <c r="U6" s="63" t="n">
        <v>1</v>
      </c>
    </row>
    <row r="7">
      <c r="A7" s="63" t="inlineStr">
        <is>
          <t>ac9f21df-74f0-9af5-b361-8e1ca06d7a69</t>
        </is>
      </c>
      <c r="B7" s="64" t="n">
        <v>46238</v>
      </c>
      <c r="C7" s="63" t="inlineStr">
        <is>
          <t>Despesa</t>
        </is>
      </c>
      <c r="D7" s="63" t="inlineStr">
        <is>
          <t>Transporte por app</t>
        </is>
      </c>
      <c r="E7" s="65" t="n">
        <v>28.4</v>
      </c>
      <c r="F7" s="63" t="inlineStr">
        <is>
          <t>Transporte</t>
        </is>
      </c>
      <c r="G7" s="63" t="inlineStr">
        <is>
          <t>Cartão de crédito</t>
        </is>
      </c>
      <c r="H7" s="63" t="n"/>
      <c r="I7" s="63" t="n"/>
      <c r="J7" s="63" t="inlineStr">
        <is>
          <t>Pago</t>
        </is>
      </c>
      <c r="K7" s="63" t="n"/>
      <c r="L7" s="63" t="n"/>
      <c r="M7" s="63" t="n"/>
      <c r="N7" s="63" t="n"/>
      <c r="O7" s="63" t="n"/>
      <c r="P7" s="64" t="n">
        <v>46262</v>
      </c>
      <c r="Q7" s="63" t="inlineStr">
        <is>
          <t>exemplo</t>
        </is>
      </c>
      <c r="R7" s="63" t="inlineStr">
        <is>
          <t>2026-10-17T12:00:00Z</t>
        </is>
      </c>
      <c r="S7" s="63" t="inlineStr">
        <is>
          <t>2026-10-17T12:00:00Z</t>
        </is>
      </c>
      <c r="T7" s="63" t="n"/>
      <c r="U7" s="63" t="n">
        <v>1</v>
      </c>
    </row>
    <row r="8">
      <c r="A8" s="63" t="inlineStr">
        <is>
          <t>6bad6be2-8e7a-a6e9-9f19-950499dd251d</t>
        </is>
      </c>
      <c r="B8" s="64" t="n">
        <v>46239</v>
      </c>
      <c r="C8" s="63" t="inlineStr">
        <is>
          <t>Despesa</t>
        </is>
      </c>
      <c r="D8" s="63" t="inlineStr">
        <is>
          <t>Aluguel</t>
        </is>
      </c>
      <c r="E8" s="65" t="n">
        <v>2100</v>
      </c>
      <c r="F8" s="63" t="inlineStr">
        <is>
          <t>Moradia</t>
        </is>
      </c>
      <c r="G8" s="63" t="inlineStr">
        <is>
          <t>Conta corrente</t>
        </is>
      </c>
      <c r="H8" s="63" t="n"/>
      <c r="I8" s="63" t="n"/>
      <c r="J8" s="63" t="inlineStr">
        <is>
          <t>Pago</t>
        </is>
      </c>
      <c r="K8" s="63" t="n"/>
      <c r="L8" s="63" t="n"/>
      <c r="M8" s="63" t="n"/>
      <c r="N8" s="63" t="n"/>
      <c r="O8" s="63" t="n"/>
      <c r="P8" s="63" t="n"/>
      <c r="Q8" s="63" t="inlineStr">
        <is>
          <t>exemplo</t>
        </is>
      </c>
      <c r="R8" s="63" t="inlineStr">
        <is>
          <t>2026-10-17T12:00:00Z</t>
        </is>
      </c>
      <c r="S8" s="63" t="inlineStr">
        <is>
          <t>2026-10-17T12:00:00Z</t>
        </is>
      </c>
      <c r="T8" s="63" t="n"/>
      <c r="U8" s="63" t="n">
        <v>1</v>
      </c>
    </row>
    <row r="9">
      <c r="A9" s="63" t="inlineStr">
        <is>
          <t>f38b2ffc-80a4-df5a-51c9-bc701e7ea419</t>
        </is>
      </c>
      <c r="B9" s="64" t="n">
        <v>46239</v>
      </c>
      <c r="C9" s="63" t="inlineStr">
        <is>
          <t>Receita</t>
        </is>
      </c>
      <c r="D9" s="63" t="inlineStr">
        <is>
          <t>Salário</t>
        </is>
      </c>
      <c r="E9" s="65" t="n">
        <v>6200</v>
      </c>
      <c r="F9" s="63" t="inlineStr">
        <is>
          <t>Salário</t>
        </is>
      </c>
      <c r="G9" s="63" t="inlineStr">
        <is>
          <t>Conta corrente</t>
        </is>
      </c>
      <c r="H9" s="63" t="n"/>
      <c r="I9" s="63" t="n"/>
      <c r="J9" s="63" t="inlineStr">
        <is>
          <t>Pago</t>
        </is>
      </c>
      <c r="K9" s="63" t="n"/>
      <c r="L9" s="63" t="n"/>
      <c r="M9" s="63" t="n"/>
      <c r="N9" s="63" t="n"/>
      <c r="O9" s="63" t="n"/>
      <c r="P9" s="63" t="n"/>
      <c r="Q9" s="63" t="inlineStr">
        <is>
          <t>exemplo</t>
        </is>
      </c>
      <c r="R9" s="63" t="inlineStr">
        <is>
          <t>2026-10-17T12:00:00Z</t>
        </is>
      </c>
      <c r="S9" s="63" t="inlineStr">
        <is>
          <t>2026-10-17T12:00:00Z</t>
        </is>
      </c>
      <c r="T9" s="63" t="n"/>
      <c r="U9" s="63" t="n">
        <v>1</v>
      </c>
    </row>
    <row r="10">
      <c r="A10" s="63" t="inlineStr">
        <is>
          <t>e26b524a-ce0d-8d87-7a98-b9acb2c55523</t>
        </is>
      </c>
      <c r="B10" s="64" t="n">
        <v>46240</v>
      </c>
      <c r="C10" s="63" t="inlineStr">
        <is>
          <t>Despesa</t>
        </is>
      </c>
      <c r="D10" s="63" t="inlineStr">
        <is>
          <t>Combustível</t>
        </is>
      </c>
      <c r="E10" s="65" t="n">
        <v>224</v>
      </c>
      <c r="F10" s="63" t="inlineStr">
        <is>
          <t>Transporte</t>
        </is>
      </c>
      <c r="G10" s="63" t="inlineStr">
        <is>
          <t>Conta corrente</t>
        </is>
      </c>
      <c r="H10" s="63" t="n"/>
      <c r="I10" s="63" t="n"/>
      <c r="J10" s="63" t="inlineStr">
        <is>
          <t>Pago</t>
        </is>
      </c>
      <c r="K10" s="63" t="n"/>
      <c r="L10" s="63" t="n"/>
      <c r="M10" s="63" t="n"/>
      <c r="N10" s="63" t="n"/>
      <c r="O10" s="63" t="n"/>
      <c r="P10" s="63" t="n"/>
      <c r="Q10" s="63" t="inlineStr">
        <is>
          <t>exemplo</t>
        </is>
      </c>
      <c r="R10" s="63" t="inlineStr">
        <is>
          <t>2026-10-17T12:00:00Z</t>
        </is>
      </c>
      <c r="S10" s="63" t="inlineStr">
        <is>
          <t>2026-10-17T12:00:00Z</t>
        </is>
      </c>
      <c r="T10" s="63" t="n"/>
      <c r="U10" s="63" t="n">
        <v>1</v>
      </c>
    </row>
    <row r="11">
      <c r="A11" s="63" t="inlineStr">
        <is>
          <t>5e6c9992-b5fb-12e0-d909-0b8906555096</t>
        </is>
      </c>
      <c r="B11" s="64" t="n">
        <v>46240</v>
      </c>
      <c r="C11" s="63" t="inlineStr">
        <is>
          <t>Despesa</t>
        </is>
      </c>
      <c r="D11" s="63" t="inlineStr">
        <is>
          <t>Padaria</t>
        </is>
      </c>
      <c r="E11" s="65" t="n">
        <v>31</v>
      </c>
      <c r="F11" s="63" t="inlineStr">
        <is>
          <t>Alimentação</t>
        </is>
      </c>
      <c r="G11" s="63" t="inlineStr">
        <is>
          <t>Conta corrente</t>
        </is>
      </c>
      <c r="H11" s="63" t="n"/>
      <c r="I11" s="63" t="n"/>
      <c r="J11" s="63" t="inlineStr">
        <is>
          <t>Pago</t>
        </is>
      </c>
      <c r="K11" s="63" t="n"/>
      <c r="L11" s="63" t="n"/>
      <c r="M11" s="63" t="n"/>
      <c r="N11" s="63" t="n"/>
      <c r="O11" s="63" t="n"/>
      <c r="P11" s="63" t="n"/>
      <c r="Q11" s="63" t="inlineStr">
        <is>
          <t>exemplo</t>
        </is>
      </c>
      <c r="R11" s="63" t="inlineStr">
        <is>
          <t>2026-10-17T12:00:00Z</t>
        </is>
      </c>
      <c r="S11" s="63" t="inlineStr">
        <is>
          <t>2026-10-17T12:00:00Z</t>
        </is>
      </c>
      <c r="T11" s="63" t="n"/>
      <c r="U11" s="63" t="n">
        <v>1</v>
      </c>
    </row>
    <row r="12">
      <c r="A12" s="63" t="inlineStr">
        <is>
          <t>511070a7-4a41-f8e4-d4d6-d278089b5123</t>
        </is>
      </c>
      <c r="B12" s="64" t="n">
        <v>46240</v>
      </c>
      <c r="C12" s="63" t="inlineStr">
        <is>
          <t>Transferência</t>
        </is>
      </c>
      <c r="D12" s="63" t="inlineStr">
        <is>
          <t>Reserva mensal</t>
        </is>
      </c>
      <c r="E12" s="65" t="n">
        <v>1000</v>
      </c>
      <c r="F12" s="63" t="n"/>
      <c r="G12" s="63" t="inlineStr">
        <is>
          <t>Conta corrente</t>
        </is>
      </c>
      <c r="H12" s="63" t="inlineStr">
        <is>
          <t>Poupança</t>
        </is>
      </c>
      <c r="I12" s="63" t="n"/>
      <c r="J12" s="63" t="inlineStr">
        <is>
          <t>Pago</t>
        </is>
      </c>
      <c r="K12" s="63" t="n"/>
      <c r="L12" s="63" t="n"/>
      <c r="M12" s="63" t="n"/>
      <c r="N12" s="63" t="n"/>
      <c r="O12" s="63" t="n"/>
      <c r="P12" s="63" t="n"/>
      <c r="Q12" s="63" t="inlineStr">
        <is>
          <t>exemplo</t>
        </is>
      </c>
      <c r="R12" s="63" t="inlineStr">
        <is>
          <t>2026-10-17T12:00:00Z</t>
        </is>
      </c>
      <c r="S12" s="63" t="inlineStr">
        <is>
          <t>2026-10-17T12:00:00Z</t>
        </is>
      </c>
      <c r="T12" s="63" t="n"/>
      <c r="U12" s="63" t="n">
        <v>1</v>
      </c>
    </row>
    <row r="13">
      <c r="A13" s="63" t="inlineStr">
        <is>
          <t>2106119e-c40d-31b5-397a-762393550840</t>
        </is>
      </c>
      <c r="B13" s="64" t="n">
        <v>46241</v>
      </c>
      <c r="C13" s="63" t="inlineStr">
        <is>
          <t>Despesa</t>
        </is>
      </c>
      <c r="D13" s="63" t="inlineStr">
        <is>
          <t>Restaurante</t>
        </is>
      </c>
      <c r="E13" s="65" t="n">
        <v>96</v>
      </c>
      <c r="F13" s="63" t="inlineStr">
        <is>
          <t>Alimentação</t>
        </is>
      </c>
      <c r="G13" s="63" t="inlineStr">
        <is>
          <t>Cartão de crédito</t>
        </is>
      </c>
      <c r="H13" s="63" t="n"/>
      <c r="I13" s="63" t="n"/>
      <c r="J13" s="63" t="inlineStr">
        <is>
          <t>Pago</t>
        </is>
      </c>
      <c r="K13" s="63" t="n"/>
      <c r="L13" s="63" t="n"/>
      <c r="M13" s="63" t="n"/>
      <c r="N13" s="63" t="n"/>
      <c r="O13" s="63" t="n"/>
      <c r="P13" s="64" t="n">
        <v>46262</v>
      </c>
      <c r="Q13" s="63" t="inlineStr">
        <is>
          <t>exemplo</t>
        </is>
      </c>
      <c r="R13" s="63" t="inlineStr">
        <is>
          <t>2026-10-17T12:00:00Z</t>
        </is>
      </c>
      <c r="S13" s="63" t="inlineStr">
        <is>
          <t>2026-10-17T12:00:00Z</t>
        </is>
      </c>
      <c r="T13" s="63" t="n"/>
      <c r="U13" s="63" t="n">
        <v>1</v>
      </c>
    </row>
    <row r="14">
      <c r="A14" s="63" t="inlineStr">
        <is>
          <t>f3f49249-dc28-ff90-a5ae-c7978306d03b</t>
        </is>
      </c>
      <c r="B14" s="64" t="n">
        <v>46241</v>
      </c>
      <c r="C14" s="63" t="inlineStr">
        <is>
          <t>Receita</t>
        </is>
      </c>
      <c r="D14" s="63" t="inlineStr">
        <is>
          <t>Salário</t>
        </is>
      </c>
      <c r="E14" s="65" t="n">
        <v>4800</v>
      </c>
      <c r="F14" s="63" t="inlineStr">
        <is>
          <t>Salário</t>
        </is>
      </c>
      <c r="G14" s="63" t="inlineStr">
        <is>
          <t>Conta corrente</t>
        </is>
      </c>
      <c r="H14" s="63" t="n"/>
      <c r="I14" s="63" t="n"/>
      <c r="J14" s="63" t="inlineStr">
        <is>
          <t>Pago</t>
        </is>
      </c>
      <c r="K14" s="63" t="n"/>
      <c r="L14" s="63" t="n"/>
      <c r="M14" s="63" t="n"/>
      <c r="N14" s="63" t="n"/>
      <c r="O14" s="63" t="n"/>
      <c r="P14" s="63" t="n"/>
      <c r="Q14" s="63" t="inlineStr">
        <is>
          <t>exemplo</t>
        </is>
      </c>
      <c r="R14" s="63" t="inlineStr">
        <is>
          <t>2026-10-17T12:00:00Z</t>
        </is>
      </c>
      <c r="S14" s="63" t="inlineStr">
        <is>
          <t>2026-10-17T12:00:00Z</t>
        </is>
      </c>
      <c r="T14" s="63" t="n"/>
      <c r="U14" s="63" t="n">
        <v>1</v>
      </c>
    </row>
    <row r="15">
      <c r="A15" s="63" t="inlineStr">
        <is>
          <t>1919e93a-d117-45ad-4988-93101c593af5</t>
        </is>
      </c>
      <c r="B15" s="64" t="n">
        <v>46242</v>
      </c>
      <c r="C15" s="63" t="inlineStr">
        <is>
          <t>Despesa</t>
        </is>
      </c>
      <c r="D15" s="63" t="inlineStr">
        <is>
          <t>Plano de saúde</t>
        </is>
      </c>
      <c r="E15" s="65" t="n">
        <v>520</v>
      </c>
      <c r="F15" s="63" t="inlineStr">
        <is>
          <t>Saúde</t>
        </is>
      </c>
      <c r="G15" s="63" t="inlineStr">
        <is>
          <t>Conta corrente</t>
        </is>
      </c>
      <c r="H15" s="63" t="n"/>
      <c r="I15" s="63" t="n"/>
      <c r="J15" s="63" t="inlineStr">
        <is>
          <t>Pago</t>
        </is>
      </c>
      <c r="K15" s="63" t="n"/>
      <c r="L15" s="63" t="n"/>
      <c r="M15" s="63" t="n"/>
      <c r="N15" s="63" t="n"/>
      <c r="O15" s="63" t="n"/>
      <c r="P15" s="63" t="n"/>
      <c r="Q15" s="63" t="inlineStr">
        <is>
          <t>exemplo</t>
        </is>
      </c>
      <c r="R15" s="63" t="inlineStr">
        <is>
          <t>2026-10-17T12:00:00Z</t>
        </is>
      </c>
      <c r="S15" s="63" t="inlineStr">
        <is>
          <t>2026-10-17T12:00:00Z</t>
        </is>
      </c>
      <c r="T15" s="63" t="n"/>
      <c r="U15" s="63" t="n">
        <v>1</v>
      </c>
    </row>
    <row r="16">
      <c r="A16" s="63" t="inlineStr">
        <is>
          <t>e4163207-d094-4996-02f0-ee99731c9452</t>
        </is>
      </c>
      <c r="B16" s="64" t="n">
        <v>46243</v>
      </c>
      <c r="C16" s="63" t="inlineStr">
        <is>
          <t>Despesa</t>
        </is>
      </c>
      <c r="D16" s="63" t="inlineStr">
        <is>
          <t>Academia</t>
        </is>
      </c>
      <c r="E16" s="65" t="n">
        <v>109.9</v>
      </c>
      <c r="F16" s="63" t="inlineStr">
        <is>
          <t>Cuidados pessoais</t>
        </is>
      </c>
      <c r="G16" s="63" t="inlineStr">
        <is>
          <t>Conta corrente</t>
        </is>
      </c>
      <c r="H16" s="63" t="n"/>
      <c r="I16" s="63" t="n"/>
      <c r="J16" s="63" t="inlineStr">
        <is>
          <t>Pago</t>
        </is>
      </c>
      <c r="K16" s="63" t="n"/>
      <c r="L16" s="63" t="n"/>
      <c r="M16" s="63" t="n"/>
      <c r="N16" s="63" t="n"/>
      <c r="O16" s="63" t="n"/>
      <c r="P16" s="63" t="n"/>
      <c r="Q16" s="63" t="inlineStr">
        <is>
          <t>exemplo</t>
        </is>
      </c>
      <c r="R16" s="63" t="inlineStr">
        <is>
          <t>2026-10-17T12:00:00Z</t>
        </is>
      </c>
      <c r="S16" s="63" t="inlineStr">
        <is>
          <t>2026-10-17T12:00:00Z</t>
        </is>
      </c>
      <c r="T16" s="63" t="n"/>
      <c r="U16" s="63" t="n">
        <v>1</v>
      </c>
    </row>
    <row r="17">
      <c r="A17" s="63" t="inlineStr">
        <is>
          <t>192f09a9-cfd8-c364-eab4-2bd67528ea79</t>
        </is>
      </c>
      <c r="B17" s="64" t="n">
        <v>46243</v>
      </c>
      <c r="C17" s="63" t="inlineStr">
        <is>
          <t>Transferência</t>
        </is>
      </c>
      <c r="D17" s="63" t="inlineStr">
        <is>
          <t>Aporte investimentos</t>
        </is>
      </c>
      <c r="E17" s="65" t="n">
        <v>500</v>
      </c>
      <c r="F17" s="63" t="n"/>
      <c r="G17" s="63" t="inlineStr">
        <is>
          <t>Poupança</t>
        </is>
      </c>
      <c r="H17" s="63" t="inlineStr">
        <is>
          <t>Investimentos</t>
        </is>
      </c>
      <c r="I17" s="63" t="n"/>
      <c r="J17" s="63" t="inlineStr">
        <is>
          <t>Pago</t>
        </is>
      </c>
      <c r="K17" s="63" t="n"/>
      <c r="L17" s="63" t="n"/>
      <c r="M17" s="63" t="n"/>
      <c r="N17" s="63" t="n"/>
      <c r="O17" s="63" t="n"/>
      <c r="P17" s="63" t="n"/>
      <c r="Q17" s="63" t="inlineStr">
        <is>
          <t>exemplo</t>
        </is>
      </c>
      <c r="R17" s="63" t="inlineStr">
        <is>
          <t>2026-10-17T12:00:00Z</t>
        </is>
      </c>
      <c r="S17" s="63" t="inlineStr">
        <is>
          <t>2026-10-17T12:00:00Z</t>
        </is>
      </c>
      <c r="T17" s="63" t="n"/>
      <c r="U17" s="63" t="n">
        <v>1</v>
      </c>
    </row>
    <row r="18">
      <c r="A18" s="63" t="inlineStr">
        <is>
          <t>bef7e268-ffe9-76ab-6058-1ccace1d62e0</t>
        </is>
      </c>
      <c r="B18" s="64" t="n">
        <v>46243</v>
      </c>
      <c r="C18" s="63" t="inlineStr">
        <is>
          <t>Despesa</t>
        </is>
      </c>
      <c r="D18" s="63" t="inlineStr">
        <is>
          <t>Mercado</t>
        </is>
      </c>
      <c r="E18" s="65" t="n">
        <v>388.45</v>
      </c>
      <c r="F18" s="63" t="inlineStr">
        <is>
          <t>Mercado</t>
        </is>
      </c>
      <c r="G18" s="63" t="inlineStr">
        <is>
          <t>Cartão de crédito</t>
        </is>
      </c>
      <c r="H18" s="63" t="n"/>
      <c r="I18" s="63" t="n"/>
      <c r="J18" s="63" t="inlineStr">
        <is>
          <t>Pago</t>
        </is>
      </c>
      <c r="K18" s="63" t="n"/>
      <c r="L18" s="63" t="n"/>
      <c r="M18" s="63" t="n"/>
      <c r="N18" s="63" t="n"/>
      <c r="O18" s="63" t="n"/>
      <c r="P18" s="64" t="n">
        <v>46262</v>
      </c>
      <c r="Q18" s="63" t="inlineStr">
        <is>
          <t>exemplo</t>
        </is>
      </c>
      <c r="R18" s="63" t="inlineStr">
        <is>
          <t>2026-10-17T12:00:00Z</t>
        </is>
      </c>
      <c r="S18" s="63" t="inlineStr">
        <is>
          <t>2026-10-17T12:00:00Z</t>
        </is>
      </c>
      <c r="T18" s="63" t="n"/>
      <c r="U18" s="63" t="n">
        <v>1</v>
      </c>
    </row>
    <row r="19">
      <c r="A19" s="63" t="inlineStr">
        <is>
          <t>d7a7a3cc-8c3d-5f16-9293-de8fc88b2875</t>
        </is>
      </c>
      <c r="B19" s="64" t="n">
        <v>46244</v>
      </c>
      <c r="C19" s="63" t="inlineStr">
        <is>
          <t>Despesa</t>
        </is>
      </c>
      <c r="D19" s="63" t="inlineStr">
        <is>
          <t>Condomínio</t>
        </is>
      </c>
      <c r="E19" s="65" t="n">
        <v>450</v>
      </c>
      <c r="F19" s="63" t="inlineStr">
        <is>
          <t>Moradia</t>
        </is>
      </c>
      <c r="G19" s="63" t="inlineStr">
        <is>
          <t>Conta corrente</t>
        </is>
      </c>
      <c r="H19" s="63" t="n"/>
      <c r="I19" s="63" t="n"/>
      <c r="J19" s="63" t="inlineStr">
        <is>
          <t>Pago</t>
        </is>
      </c>
      <c r="K19" s="63" t="n"/>
      <c r="L19" s="63" t="n"/>
      <c r="M19" s="63" t="n"/>
      <c r="N19" s="63" t="n"/>
      <c r="O19" s="63" t="n"/>
      <c r="P19" s="63" t="n"/>
      <c r="Q19" s="63" t="inlineStr">
        <is>
          <t>exemplo</t>
        </is>
      </c>
      <c r="R19" s="63" t="inlineStr">
        <is>
          <t>2026-10-17T12:00:00Z</t>
        </is>
      </c>
      <c r="S19" s="63" t="inlineStr">
        <is>
          <t>2026-10-17T12:00:00Z</t>
        </is>
      </c>
      <c r="T19" s="63" t="n"/>
      <c r="U19" s="63" t="n">
        <v>1</v>
      </c>
    </row>
    <row r="20">
      <c r="A20" s="63" t="inlineStr">
        <is>
          <t>fcbad167-f5a9-ca5f-edf1-65dab6eafff5</t>
        </is>
      </c>
      <c r="B20" s="64" t="n">
        <v>46244</v>
      </c>
      <c r="C20" s="63" t="inlineStr">
        <is>
          <t>Despesa</t>
        </is>
      </c>
      <c r="D20" s="63" t="inlineStr">
        <is>
          <t>Transporte por app</t>
        </is>
      </c>
      <c r="E20" s="65" t="n">
        <v>41.9</v>
      </c>
      <c r="F20" s="63" t="inlineStr">
        <is>
          <t>Transporte</t>
        </is>
      </c>
      <c r="G20" s="63" t="inlineStr">
        <is>
          <t>Cartão de crédito</t>
        </is>
      </c>
      <c r="H20" s="63" t="n"/>
      <c r="I20" s="63" t="n"/>
      <c r="J20" s="63" t="inlineStr">
        <is>
          <t>Pago</t>
        </is>
      </c>
      <c r="K20" s="63" t="n"/>
      <c r="L20" s="63" t="n"/>
      <c r="M20" s="63" t="n"/>
      <c r="N20" s="63" t="n"/>
      <c r="O20" s="63" t="n"/>
      <c r="P20" s="64" t="n">
        <v>46262</v>
      </c>
      <c r="Q20" s="63" t="inlineStr">
        <is>
          <t>exemplo</t>
        </is>
      </c>
      <c r="R20" s="63" t="inlineStr">
        <is>
          <t>2026-10-17T12:00:00Z</t>
        </is>
      </c>
      <c r="S20" s="63" t="inlineStr">
        <is>
          <t>2026-10-17T12:00:00Z</t>
        </is>
      </c>
      <c r="T20" s="63" t="n"/>
      <c r="U20" s="63" t="n">
        <v>1</v>
      </c>
    </row>
    <row r="21">
      <c r="A21" s="63" t="inlineStr">
        <is>
          <t>0879d955-025f-f87c-44df-8a13d4f398ee</t>
        </is>
      </c>
      <c r="B21" s="64" t="n">
        <v>46245</v>
      </c>
      <c r="C21" s="63" t="inlineStr">
        <is>
          <t>Despesa</t>
        </is>
      </c>
      <c r="D21" s="63" t="inlineStr">
        <is>
          <t>Farmácia</t>
        </is>
      </c>
      <c r="E21" s="65" t="n">
        <v>87.59999999999999</v>
      </c>
      <c r="F21" s="63" t="inlineStr">
        <is>
          <t>Saúde</t>
        </is>
      </c>
      <c r="G21" s="63" t="inlineStr">
        <is>
          <t>Conta corrente</t>
        </is>
      </c>
      <c r="H21" s="63" t="n"/>
      <c r="I21" s="63" t="n"/>
      <c r="J21" s="63" t="inlineStr">
        <is>
          <t>Pago</t>
        </is>
      </c>
      <c r="K21" s="63" t="n"/>
      <c r="L21" s="63" t="n"/>
      <c r="M21" s="63" t="n"/>
      <c r="N21" s="63" t="n"/>
      <c r="O21" s="63" t="n"/>
      <c r="P21" s="63" t="n"/>
      <c r="Q21" s="63" t="inlineStr">
        <is>
          <t>exemplo</t>
        </is>
      </c>
      <c r="R21" s="63" t="inlineStr">
        <is>
          <t>2026-10-17T12:00:00Z</t>
        </is>
      </c>
      <c r="S21" s="63" t="inlineStr">
        <is>
          <t>2026-10-17T12:00:00Z</t>
        </is>
      </c>
      <c r="T21" s="63" t="n"/>
      <c r="U21" s="63" t="n">
        <v>1</v>
      </c>
    </row>
    <row r="22">
      <c r="A22" s="63" t="inlineStr">
        <is>
          <t>66160227-1737-1472-6c16-72297608d942</t>
        </is>
      </c>
      <c r="B22" s="64" t="n">
        <v>46245</v>
      </c>
      <c r="C22" s="63" t="inlineStr">
        <is>
          <t>Despesa</t>
        </is>
      </c>
      <c r="D22" s="63" t="inlineStr">
        <is>
          <t>Padaria</t>
        </is>
      </c>
      <c r="E22" s="65" t="n">
        <v>18.9</v>
      </c>
      <c r="F22" s="63" t="inlineStr">
        <is>
          <t>Alimentação</t>
        </is>
      </c>
      <c r="G22" s="63" t="inlineStr">
        <is>
          <t>Carteira</t>
        </is>
      </c>
      <c r="H22" s="63" t="n"/>
      <c r="I22" s="63" t="n"/>
      <c r="J22" s="63" t="inlineStr">
        <is>
          <t>Pago</t>
        </is>
      </c>
      <c r="K22" s="63" t="n"/>
      <c r="L22" s="63" t="n"/>
      <c r="M22" s="63" t="n"/>
      <c r="N22" s="63" t="n"/>
      <c r="O22" s="63" t="n"/>
      <c r="P22" s="63" t="n"/>
      <c r="Q22" s="63" t="inlineStr">
        <is>
          <t>exemplo</t>
        </is>
      </c>
      <c r="R22" s="63" t="inlineStr">
        <is>
          <t>2026-10-17T12:00:00Z</t>
        </is>
      </c>
      <c r="S22" s="63" t="inlineStr">
        <is>
          <t>2026-10-17T12:00:00Z</t>
        </is>
      </c>
      <c r="T22" s="63" t="n"/>
      <c r="U22" s="63" t="n">
        <v>1</v>
      </c>
    </row>
    <row r="23">
      <c r="A23" s="63" t="inlineStr">
        <is>
          <t>7dabe929-c4a3-34bf-c6cd-75e9bb049a79</t>
        </is>
      </c>
      <c r="B23" s="64" t="n">
        <v>46246</v>
      </c>
      <c r="C23" s="63" t="inlineStr">
        <is>
          <t>Despesa</t>
        </is>
      </c>
      <c r="D23" s="63" t="inlineStr">
        <is>
          <t>Energia elétrica</t>
        </is>
      </c>
      <c r="E23" s="65" t="n">
        <v>212.4</v>
      </c>
      <c r="F23" s="63" t="inlineStr">
        <is>
          <t>Contas e serviços</t>
        </is>
      </c>
      <c r="G23" s="63" t="inlineStr">
        <is>
          <t>Conta corrente</t>
        </is>
      </c>
      <c r="H23" s="63" t="n"/>
      <c r="I23" s="63" t="n"/>
      <c r="J23" s="63" t="inlineStr">
        <is>
          <t>Pago</t>
        </is>
      </c>
      <c r="K23" s="63" t="n"/>
      <c r="L23" s="63" t="n"/>
      <c r="M23" s="63" t="n"/>
      <c r="N23" s="63" t="n"/>
      <c r="O23" s="63" t="n"/>
      <c r="P23" s="63" t="n"/>
      <c r="Q23" s="63" t="inlineStr">
        <is>
          <t>exemplo</t>
        </is>
      </c>
      <c r="R23" s="63" t="inlineStr">
        <is>
          <t>2026-10-17T12:00:00Z</t>
        </is>
      </c>
      <c r="S23" s="63" t="inlineStr">
        <is>
          <t>2026-10-17T12:00:00Z</t>
        </is>
      </c>
      <c r="T23" s="63" t="n"/>
      <c r="U23" s="63" t="n">
        <v>1</v>
      </c>
    </row>
    <row r="24">
      <c r="A24" s="63" t="inlineStr">
        <is>
          <t>e842997d-a9f5-307c-8ece-78b06f29a9f1</t>
        </is>
      </c>
      <c r="B24" s="64" t="n">
        <v>46246</v>
      </c>
      <c r="C24" s="63" t="inlineStr">
        <is>
          <t>Despesa</t>
        </is>
      </c>
      <c r="D24" s="63" t="inlineStr">
        <is>
          <t>Salão</t>
        </is>
      </c>
      <c r="E24" s="65" t="n">
        <v>120</v>
      </c>
      <c r="F24" s="63" t="inlineStr">
        <is>
          <t>Cuidados pessoais</t>
        </is>
      </c>
      <c r="G24" s="63" t="inlineStr">
        <is>
          <t>Conta corrente</t>
        </is>
      </c>
      <c r="H24" s="63" t="n"/>
      <c r="I24" s="63" t="n"/>
      <c r="J24" s="63" t="inlineStr">
        <is>
          <t>Pago</t>
        </is>
      </c>
      <c r="K24" s="63" t="n"/>
      <c r="L24" s="63" t="n"/>
      <c r="M24" s="63" t="n"/>
      <c r="N24" s="63" t="n"/>
      <c r="O24" s="63" t="n"/>
      <c r="P24" s="63" t="n"/>
      <c r="Q24" s="63" t="inlineStr">
        <is>
          <t>exemplo</t>
        </is>
      </c>
      <c r="R24" s="63" t="inlineStr">
        <is>
          <t>2026-10-17T12:00:00Z</t>
        </is>
      </c>
      <c r="S24" s="63" t="inlineStr">
        <is>
          <t>2026-10-17T12:00:00Z</t>
        </is>
      </c>
      <c r="T24" s="63" t="n"/>
      <c r="U24" s="63" t="n">
        <v>1</v>
      </c>
    </row>
    <row r="25">
      <c r="A25" s="63" t="inlineStr">
        <is>
          <t>e306f0c4-85f1-84e0-b464-c554f675299b</t>
        </is>
      </c>
      <c r="B25" s="64" t="n">
        <v>46247</v>
      </c>
      <c r="C25" s="63" t="inlineStr">
        <is>
          <t>Despesa</t>
        </is>
      </c>
      <c r="D25" s="63" t="inlineStr">
        <is>
          <t>Delivery</t>
        </is>
      </c>
      <c r="E25" s="65" t="n">
        <v>74.5</v>
      </c>
      <c r="F25" s="63" t="inlineStr">
        <is>
          <t>Alimentação</t>
        </is>
      </c>
      <c r="G25" s="63" t="inlineStr">
        <is>
          <t>Cartão de crédito</t>
        </is>
      </c>
      <c r="H25" s="63" t="n"/>
      <c r="I25" s="63" t="n"/>
      <c r="J25" s="63" t="inlineStr">
        <is>
          <t>Pago</t>
        </is>
      </c>
      <c r="K25" s="63" t="n"/>
      <c r="L25" s="63" t="n"/>
      <c r="M25" s="63" t="n"/>
      <c r="N25" s="63" t="n"/>
      <c r="O25" s="63" t="n"/>
      <c r="P25" s="64" t="n">
        <v>46262</v>
      </c>
      <c r="Q25" s="63" t="inlineStr">
        <is>
          <t>exemplo</t>
        </is>
      </c>
      <c r="R25" s="63" t="inlineStr">
        <is>
          <t>2026-10-17T12:00:00Z</t>
        </is>
      </c>
      <c r="S25" s="63" t="inlineStr">
        <is>
          <t>2026-10-17T12:00:00Z</t>
        </is>
      </c>
      <c r="T25" s="63" t="n"/>
      <c r="U25" s="63" t="n">
        <v>1</v>
      </c>
    </row>
    <row r="26">
      <c r="A26" s="63" t="inlineStr">
        <is>
          <t>7d510557-ed4d-19b8-85dc-0a68cdb54088</t>
        </is>
      </c>
      <c r="B26" s="64" t="n">
        <v>46248</v>
      </c>
      <c r="C26" s="63" t="inlineStr">
        <is>
          <t>Despesa</t>
        </is>
      </c>
      <c r="D26" s="63" t="inlineStr">
        <is>
          <t>Cinema</t>
        </is>
      </c>
      <c r="E26" s="65" t="n">
        <v>68</v>
      </c>
      <c r="F26" s="63" t="inlineStr">
        <is>
          <t>Lazer</t>
        </is>
      </c>
      <c r="G26" s="63" t="inlineStr">
        <is>
          <t>Cartão de crédito</t>
        </is>
      </c>
      <c r="H26" s="63" t="n"/>
      <c r="I26" s="63" t="n"/>
      <c r="J26" s="63" t="inlineStr">
        <is>
          <t>Pago</t>
        </is>
      </c>
      <c r="K26" s="63" t="n"/>
      <c r="L26" s="63" t="n"/>
      <c r="M26" s="63" t="n"/>
      <c r="N26" s="63" t="n"/>
      <c r="O26" s="63" t="n"/>
      <c r="P26" s="64" t="n">
        <v>46262</v>
      </c>
      <c r="Q26" s="63" t="inlineStr">
        <is>
          <t>exemplo</t>
        </is>
      </c>
      <c r="R26" s="63" t="inlineStr">
        <is>
          <t>2026-10-17T12:00:00Z</t>
        </is>
      </c>
      <c r="S26" s="63" t="inlineStr">
        <is>
          <t>2026-10-17T12:00:00Z</t>
        </is>
      </c>
      <c r="T26" s="63" t="n"/>
      <c r="U26" s="63" t="n">
        <v>1</v>
      </c>
    </row>
    <row r="27">
      <c r="A27" s="63" t="inlineStr">
        <is>
          <t>81a0ba05-6ce9-da66-1dcf-884cde0279e1</t>
        </is>
      </c>
      <c r="B27" s="64" t="n">
        <v>46248</v>
      </c>
      <c r="C27" s="63" t="inlineStr">
        <is>
          <t>Despesa</t>
        </is>
      </c>
      <c r="D27" s="63" t="inlineStr">
        <is>
          <t>Padaria</t>
        </is>
      </c>
      <c r="E27" s="65" t="n">
        <v>42.3</v>
      </c>
      <c r="F27" s="63" t="inlineStr">
        <is>
          <t>Alimentação</t>
        </is>
      </c>
      <c r="G27" s="63" t="inlineStr">
        <is>
          <t>Conta corrente</t>
        </is>
      </c>
      <c r="H27" s="63" t="n"/>
      <c r="I27" s="63" t="n"/>
      <c r="J27" s="63" t="inlineStr">
        <is>
          <t>Pago</t>
        </is>
      </c>
      <c r="K27" s="63" t="n"/>
      <c r="L27" s="63" t="n"/>
      <c r="M27" s="63" t="n"/>
      <c r="N27" s="63" t="n"/>
      <c r="O27" s="63" t="n"/>
      <c r="P27" s="63" t="n"/>
      <c r="Q27" s="63" t="inlineStr">
        <is>
          <t>exemplo</t>
        </is>
      </c>
      <c r="R27" s="63" t="inlineStr">
        <is>
          <t>2026-10-17T12:00:00Z</t>
        </is>
      </c>
      <c r="S27" s="63" t="inlineStr">
        <is>
          <t>2026-10-17T12:00:00Z</t>
        </is>
      </c>
      <c r="T27" s="63" t="n"/>
      <c r="U27" s="63" t="n">
        <v>1</v>
      </c>
    </row>
    <row r="28">
      <c r="A28" s="63" t="inlineStr">
        <is>
          <t>70eb9a0a-9626-3ae6-c5e8-18fac0433cbd</t>
        </is>
      </c>
      <c r="B28" s="64" t="n">
        <v>46249</v>
      </c>
      <c r="C28" s="63" t="inlineStr">
        <is>
          <t>Despesa</t>
        </is>
      </c>
      <c r="D28" s="63" t="inlineStr">
        <is>
          <t>Internet</t>
        </is>
      </c>
      <c r="E28" s="65" t="n">
        <v>119.9</v>
      </c>
      <c r="F28" s="63" t="inlineStr">
        <is>
          <t>Contas e serviços</t>
        </is>
      </c>
      <c r="G28" s="63" t="inlineStr">
        <is>
          <t>Conta corrente</t>
        </is>
      </c>
      <c r="H28" s="63" t="n"/>
      <c r="I28" s="63" t="n"/>
      <c r="J28" s="63" t="inlineStr">
        <is>
          <t>Pago</t>
        </is>
      </c>
      <c r="K28" s="63" t="n"/>
      <c r="L28" s="63" t="n"/>
      <c r="M28" s="63" t="n"/>
      <c r="N28" s="63" t="n"/>
      <c r="O28" s="63" t="n"/>
      <c r="P28" s="63" t="n"/>
      <c r="Q28" s="63" t="inlineStr">
        <is>
          <t>exemplo</t>
        </is>
      </c>
      <c r="R28" s="63" t="inlineStr">
        <is>
          <t>2026-10-17T12:00:00Z</t>
        </is>
      </c>
      <c r="S28" s="63" t="inlineStr">
        <is>
          <t>2026-10-17T12:00:00Z</t>
        </is>
      </c>
      <c r="T28" s="63" t="n"/>
      <c r="U28" s="63" t="n">
        <v>1</v>
      </c>
    </row>
    <row r="29">
      <c r="A29" s="63" t="inlineStr">
        <is>
          <t>82e26123-7776-c655-7c4e-4248b1515fff</t>
        </is>
      </c>
      <c r="B29" s="64" t="n">
        <v>46250</v>
      </c>
      <c r="C29" s="63" t="inlineStr">
        <is>
          <t>Despesa</t>
        </is>
      </c>
      <c r="D29" s="63" t="inlineStr">
        <is>
          <t>Camiseta e tênis</t>
        </is>
      </c>
      <c r="E29" s="65" t="n">
        <v>289.9</v>
      </c>
      <c r="F29" s="63" t="inlineStr">
        <is>
          <t>Vestuário</t>
        </is>
      </c>
      <c r="G29" s="63" t="inlineStr">
        <is>
          <t>Cartão de crédito</t>
        </is>
      </c>
      <c r="H29" s="63" t="n"/>
      <c r="I29" s="63" t="n"/>
      <c r="J29" s="63" t="inlineStr">
        <is>
          <t>Pago</t>
        </is>
      </c>
      <c r="K29" s="63" t="n"/>
      <c r="L29" s="63" t="n"/>
      <c r="M29" s="63" t="n"/>
      <c r="N29" s="63" t="n"/>
      <c r="O29" s="63" t="n"/>
      <c r="P29" s="64" t="n">
        <v>46262</v>
      </c>
      <c r="Q29" s="63" t="inlineStr">
        <is>
          <t>exemplo</t>
        </is>
      </c>
      <c r="R29" s="63" t="inlineStr">
        <is>
          <t>2026-10-17T12:00:00Z</t>
        </is>
      </c>
      <c r="S29" s="63" t="inlineStr">
        <is>
          <t>2026-10-17T12:00:00Z</t>
        </is>
      </c>
      <c r="T29" s="63" t="n"/>
      <c r="U29" s="63" t="n">
        <v>1</v>
      </c>
    </row>
    <row r="30">
      <c r="A30" s="63" t="inlineStr">
        <is>
          <t>b91dddd9-1389-b372-a341-738c837a7935</t>
        </is>
      </c>
      <c r="B30" s="64" t="n">
        <v>46250</v>
      </c>
      <c r="C30" s="63" t="inlineStr">
        <is>
          <t>Despesa</t>
        </is>
      </c>
      <c r="D30" s="63" t="inlineStr">
        <is>
          <t>Mercado</t>
        </is>
      </c>
      <c r="E30" s="65" t="n">
        <v>436.2</v>
      </c>
      <c r="F30" s="63" t="inlineStr">
        <is>
          <t>Mercado</t>
        </is>
      </c>
      <c r="G30" s="63" t="inlineStr">
        <is>
          <t>Cartão de crédito</t>
        </is>
      </c>
      <c r="H30" s="63" t="n"/>
      <c r="I30" s="63" t="n"/>
      <c r="J30" s="63" t="inlineStr">
        <is>
          <t>Pago</t>
        </is>
      </c>
      <c r="K30" s="63" t="n"/>
      <c r="L30" s="63" t="n"/>
      <c r="M30" s="63" t="n"/>
      <c r="N30" s="63" t="n"/>
      <c r="O30" s="63" t="n"/>
      <c r="P30" s="64" t="n">
        <v>46262</v>
      </c>
      <c r="Q30" s="63" t="inlineStr">
        <is>
          <t>exemplo</t>
        </is>
      </c>
      <c r="R30" s="63" t="inlineStr">
        <is>
          <t>2026-10-17T12:00:00Z</t>
        </is>
      </c>
      <c r="S30" s="63" t="inlineStr">
        <is>
          <t>2026-10-17T12:00:00Z</t>
        </is>
      </c>
      <c r="T30" s="63" t="n"/>
      <c r="U30" s="63" t="n">
        <v>1</v>
      </c>
    </row>
    <row r="31">
      <c r="A31" s="63" t="inlineStr">
        <is>
          <t>ff8b2a6a-ab74-fe57-66ee-bc578f4ecb4f</t>
        </is>
      </c>
      <c r="B31" s="64" t="n">
        <v>46251</v>
      </c>
      <c r="C31" s="63" t="inlineStr">
        <is>
          <t>Despesa</t>
        </is>
      </c>
      <c r="D31" s="63" t="inlineStr">
        <is>
          <t>Transporte por app</t>
        </is>
      </c>
      <c r="E31" s="65" t="n">
        <v>23.7</v>
      </c>
      <c r="F31" s="63" t="inlineStr">
        <is>
          <t>Transporte</t>
        </is>
      </c>
      <c r="G31" s="63" t="inlineStr">
        <is>
          <t>Cartão de crédito</t>
        </is>
      </c>
      <c r="H31" s="63" t="n"/>
      <c r="I31" s="63" t="n"/>
      <c r="J31" s="63" t="inlineStr">
        <is>
          <t>Pago</t>
        </is>
      </c>
      <c r="K31" s="63" t="n"/>
      <c r="L31" s="63" t="n"/>
      <c r="M31" s="63" t="n"/>
      <c r="N31" s="63" t="n"/>
      <c r="O31" s="63" t="n"/>
      <c r="P31" s="64" t="n">
        <v>46262</v>
      </c>
      <c r="Q31" s="63" t="inlineStr">
        <is>
          <t>exemplo</t>
        </is>
      </c>
      <c r="R31" s="63" t="inlineStr">
        <is>
          <t>2026-10-17T12:00:00Z</t>
        </is>
      </c>
      <c r="S31" s="63" t="inlineStr">
        <is>
          <t>2026-10-17T12:00:00Z</t>
        </is>
      </c>
      <c r="T31" s="63" t="n"/>
      <c r="U31" s="63" t="n">
        <v>1</v>
      </c>
    </row>
    <row r="32">
      <c r="A32" s="63" t="inlineStr">
        <is>
          <t>14aa4e71-9d3c-7dec-00a6-1f933d6c51e3</t>
        </is>
      </c>
      <c r="B32" s="64" t="n">
        <v>46252</v>
      </c>
      <c r="C32" s="63" t="inlineStr">
        <is>
          <t>Despesa</t>
        </is>
      </c>
      <c r="D32" s="63" t="inlineStr">
        <is>
          <t>Água</t>
        </is>
      </c>
      <c r="E32" s="65" t="n">
        <v>88.3</v>
      </c>
      <c r="F32" s="63" t="inlineStr">
        <is>
          <t>Contas e serviços</t>
        </is>
      </c>
      <c r="G32" s="63" t="inlineStr">
        <is>
          <t>Conta corrente</t>
        </is>
      </c>
      <c r="H32" s="63" t="n"/>
      <c r="I32" s="63" t="n"/>
      <c r="J32" s="63" t="inlineStr">
        <is>
          <t>Pago</t>
        </is>
      </c>
      <c r="K32" s="63" t="n"/>
      <c r="L32" s="63" t="n"/>
      <c r="M32" s="63" t="n"/>
      <c r="N32" s="63" t="n"/>
      <c r="O32" s="63" t="n"/>
      <c r="P32" s="63" t="n"/>
      <c r="Q32" s="63" t="inlineStr">
        <is>
          <t>exemplo</t>
        </is>
      </c>
      <c r="R32" s="63" t="inlineStr">
        <is>
          <t>2026-10-17T12:00:00Z</t>
        </is>
      </c>
      <c r="S32" s="63" t="inlineStr">
        <is>
          <t>2026-10-17T12:00:00Z</t>
        </is>
      </c>
      <c r="T32" s="63" t="n"/>
      <c r="U32" s="63" t="n">
        <v>1</v>
      </c>
    </row>
    <row r="33">
      <c r="A33" s="63" t="inlineStr">
        <is>
          <t>423674a6-864f-a3f3-eab0-6e9b65ed0de4</t>
        </is>
      </c>
      <c r="B33" s="64" t="n">
        <v>46253</v>
      </c>
      <c r="C33" s="63" t="inlineStr">
        <is>
          <t>Despesa</t>
        </is>
      </c>
      <c r="D33" s="63" t="inlineStr">
        <is>
          <t>Padaria</t>
        </is>
      </c>
      <c r="E33" s="65" t="n">
        <v>27.6</v>
      </c>
      <c r="F33" s="63" t="inlineStr">
        <is>
          <t>Alimentação</t>
        </is>
      </c>
      <c r="G33" s="63" t="inlineStr">
        <is>
          <t>Carteira</t>
        </is>
      </c>
      <c r="H33" s="63" t="n"/>
      <c r="I33" s="63" t="n"/>
      <c r="J33" s="63" t="inlineStr">
        <is>
          <t>Pago</t>
        </is>
      </c>
      <c r="K33" s="63" t="n"/>
      <c r="L33" s="63" t="n"/>
      <c r="M33" s="63" t="n"/>
      <c r="N33" s="63" t="n"/>
      <c r="O33" s="63" t="n"/>
      <c r="P33" s="63" t="n"/>
      <c r="Q33" s="63" t="inlineStr">
        <is>
          <t>exemplo</t>
        </is>
      </c>
      <c r="R33" s="63" t="inlineStr">
        <is>
          <t>2026-10-17T12:00:00Z</t>
        </is>
      </c>
      <c r="S33" s="63" t="inlineStr">
        <is>
          <t>2026-10-17T12:00:00Z</t>
        </is>
      </c>
      <c r="T33" s="63" t="n"/>
      <c r="U33" s="63" t="n">
        <v>1</v>
      </c>
    </row>
    <row r="34">
      <c r="A34" s="63" t="inlineStr">
        <is>
          <t>4b5c1a95-33d9-1808-6edd-77d866e61127</t>
        </is>
      </c>
      <c r="B34" s="64" t="n">
        <v>46254</v>
      </c>
      <c r="C34" s="63" t="inlineStr">
        <is>
          <t>Despesa</t>
        </is>
      </c>
      <c r="D34" s="63" t="inlineStr">
        <is>
          <t>Combustível</t>
        </is>
      </c>
      <c r="E34" s="65" t="n">
        <v>231.5</v>
      </c>
      <c r="F34" s="63" t="inlineStr">
        <is>
          <t>Transporte</t>
        </is>
      </c>
      <c r="G34" s="63" t="inlineStr">
        <is>
          <t>Conta corrente</t>
        </is>
      </c>
      <c r="H34" s="63" t="n"/>
      <c r="I34" s="63" t="n"/>
      <c r="J34" s="63" t="inlineStr">
        <is>
          <t>Pago</t>
        </is>
      </c>
      <c r="K34" s="63" t="n"/>
      <c r="L34" s="63" t="n"/>
      <c r="M34" s="63" t="n"/>
      <c r="N34" s="63" t="n"/>
      <c r="O34" s="63" t="n"/>
      <c r="P34" s="63" t="n"/>
      <c r="Q34" s="63" t="inlineStr">
        <is>
          <t>exemplo</t>
        </is>
      </c>
      <c r="R34" s="63" t="inlineStr">
        <is>
          <t>2026-10-17T12:00:00Z</t>
        </is>
      </c>
      <c r="S34" s="63" t="inlineStr">
        <is>
          <t>2026-10-17T12:00:00Z</t>
        </is>
      </c>
      <c r="T34" s="63" t="n"/>
      <c r="U34" s="63" t="n">
        <v>1</v>
      </c>
    </row>
    <row r="35">
      <c r="A35" s="63" t="inlineStr">
        <is>
          <t>78549014-6ded-c86a-9f4f-b02bb7a1774f</t>
        </is>
      </c>
      <c r="B35" s="64" t="n">
        <v>46255</v>
      </c>
      <c r="C35" s="63" t="inlineStr">
        <is>
          <t>Despesa</t>
        </is>
      </c>
      <c r="D35" s="63" t="inlineStr">
        <is>
          <t>Restaurante</t>
        </is>
      </c>
      <c r="E35" s="65" t="n">
        <v>128</v>
      </c>
      <c r="F35" s="63" t="inlineStr">
        <is>
          <t>Alimentação</t>
        </is>
      </c>
      <c r="G35" s="63" t="inlineStr">
        <is>
          <t>Cartão de crédito</t>
        </is>
      </c>
      <c r="H35" s="63" t="n"/>
      <c r="I35" s="63" t="n"/>
      <c r="J35" s="63" t="inlineStr">
        <is>
          <t>Pago</t>
        </is>
      </c>
      <c r="K35" s="63" t="n"/>
      <c r="L35" s="63" t="n"/>
      <c r="M35" s="63" t="n"/>
      <c r="N35" s="63" t="n"/>
      <c r="O35" s="63" t="n"/>
      <c r="P35" s="64" t="n">
        <v>46293</v>
      </c>
      <c r="Q35" s="63" t="inlineStr">
        <is>
          <t>exemplo</t>
        </is>
      </c>
      <c r="R35" s="63" t="inlineStr">
        <is>
          <t>2026-10-17T12:00:00Z</t>
        </is>
      </c>
      <c r="S35" s="63" t="inlineStr">
        <is>
          <t>2026-10-17T12:00:00Z</t>
        </is>
      </c>
      <c r="T35" s="63" t="n"/>
      <c r="U35" s="63" t="n">
        <v>1</v>
      </c>
    </row>
    <row r="36">
      <c r="A36" s="63" t="inlineStr">
        <is>
          <t>42969a50-3328-8e16-ebe8-0fa95c24c1ae</t>
        </is>
      </c>
      <c r="B36" s="64" t="n">
        <v>46256</v>
      </c>
      <c r="C36" s="63" t="inlineStr">
        <is>
          <t>Despesa</t>
        </is>
      </c>
      <c r="D36" s="63" t="inlineStr">
        <is>
          <t>Show</t>
        </is>
      </c>
      <c r="E36" s="65" t="n">
        <v>190</v>
      </c>
      <c r="F36" s="63" t="inlineStr">
        <is>
          <t>Lazer</t>
        </is>
      </c>
      <c r="G36" s="63" t="inlineStr">
        <is>
          <t>Cartão de crédito</t>
        </is>
      </c>
      <c r="H36" s="63" t="n"/>
      <c r="I36" s="63" t="n"/>
      <c r="J36" s="63" t="inlineStr">
        <is>
          <t>Pago</t>
        </is>
      </c>
      <c r="K36" s="63" t="n"/>
      <c r="L36" s="63" t="n"/>
      <c r="M36" s="63" t="n"/>
      <c r="N36" s="63" t="n"/>
      <c r="O36" s="63" t="n"/>
      <c r="P36" s="64" t="n">
        <v>46293</v>
      </c>
      <c r="Q36" s="63" t="inlineStr">
        <is>
          <t>exemplo</t>
        </is>
      </c>
      <c r="R36" s="63" t="inlineStr">
        <is>
          <t>2026-10-17T12:00:00Z</t>
        </is>
      </c>
      <c r="S36" s="63" t="inlineStr">
        <is>
          <t>2026-10-17T12:00:00Z</t>
        </is>
      </c>
      <c r="T36" s="63" t="n"/>
      <c r="U36" s="63" t="n">
        <v>1</v>
      </c>
    </row>
    <row r="37">
      <c r="A37" s="63" t="inlineStr">
        <is>
          <t>89be9c1c-8eb5-140f-16f4-488157241955</t>
        </is>
      </c>
      <c r="B37" s="64" t="n">
        <v>46257</v>
      </c>
      <c r="C37" s="63" t="inlineStr">
        <is>
          <t>Despesa</t>
        </is>
      </c>
      <c r="D37" s="63" t="inlineStr">
        <is>
          <t>Mercado</t>
        </is>
      </c>
      <c r="E37" s="65" t="n">
        <v>471.9</v>
      </c>
      <c r="F37" s="63" t="inlineStr">
        <is>
          <t>Mercado</t>
        </is>
      </c>
      <c r="G37" s="63" t="inlineStr">
        <is>
          <t>Cartão de crédito</t>
        </is>
      </c>
      <c r="H37" s="63" t="n"/>
      <c r="I37" s="63" t="n"/>
      <c r="J37" s="63" t="inlineStr">
        <is>
          <t>Pago</t>
        </is>
      </c>
      <c r="K37" s="63" t="n"/>
      <c r="L37" s="63" t="n"/>
      <c r="M37" s="63" t="n"/>
      <c r="N37" s="63" t="n"/>
      <c r="O37" s="63" t="n"/>
      <c r="P37" s="64" t="n">
        <v>46293</v>
      </c>
      <c r="Q37" s="63" t="inlineStr">
        <is>
          <t>exemplo</t>
        </is>
      </c>
      <c r="R37" s="63" t="inlineStr">
        <is>
          <t>2026-10-17T12:00:00Z</t>
        </is>
      </c>
      <c r="S37" s="63" t="inlineStr">
        <is>
          <t>2026-10-17T12:00:00Z</t>
        </is>
      </c>
      <c r="T37" s="63" t="n"/>
      <c r="U37" s="63" t="n">
        <v>1</v>
      </c>
    </row>
    <row r="38">
      <c r="A38" s="63" t="inlineStr">
        <is>
          <t>98e6e5b7-e1cd-7be8-a7d8-3351265c28ea</t>
        </is>
      </c>
      <c r="B38" s="64" t="n">
        <v>46258</v>
      </c>
      <c r="C38" s="63" t="inlineStr">
        <is>
          <t>Despesa</t>
        </is>
      </c>
      <c r="D38" s="63" t="inlineStr">
        <is>
          <t>Farmácia</t>
        </is>
      </c>
      <c r="E38" s="65" t="n">
        <v>63.2</v>
      </c>
      <c r="F38" s="63" t="inlineStr">
        <is>
          <t>Saúde</t>
        </is>
      </c>
      <c r="G38" s="63" t="inlineStr">
        <is>
          <t>Conta corrente</t>
        </is>
      </c>
      <c r="H38" s="63" t="n"/>
      <c r="I38" s="63" t="n"/>
      <c r="J38" s="63" t="inlineStr">
        <is>
          <t>Pago</t>
        </is>
      </c>
      <c r="K38" s="63" t="n"/>
      <c r="L38" s="63" t="n"/>
      <c r="M38" s="63" t="n"/>
      <c r="N38" s="63" t="n"/>
      <c r="O38" s="63" t="n"/>
      <c r="P38" s="63" t="n"/>
      <c r="Q38" s="63" t="inlineStr">
        <is>
          <t>exemplo</t>
        </is>
      </c>
      <c r="R38" s="63" t="inlineStr">
        <is>
          <t>2026-10-17T12:00:00Z</t>
        </is>
      </c>
      <c r="S38" s="63" t="inlineStr">
        <is>
          <t>2026-10-17T12:00:00Z</t>
        </is>
      </c>
      <c r="T38" s="63" t="n"/>
      <c r="U38" s="63" t="n">
        <v>1</v>
      </c>
    </row>
    <row r="39">
      <c r="A39" s="63" t="inlineStr">
        <is>
          <t>7aac319f-fb75-9e0f-ed1d-9d1690624fe3</t>
        </is>
      </c>
      <c r="B39" s="64" t="n">
        <v>46259</v>
      </c>
      <c r="C39" s="63" t="inlineStr">
        <is>
          <t>Despesa</t>
        </is>
      </c>
      <c r="D39" s="63" t="inlineStr">
        <is>
          <t>Padaria</t>
        </is>
      </c>
      <c r="E39" s="65" t="n">
        <v>35.4</v>
      </c>
      <c r="F39" s="63" t="inlineStr">
        <is>
          <t>Alimentação</t>
        </is>
      </c>
      <c r="G39" s="63" t="inlineStr">
        <is>
          <t>Carteira</t>
        </is>
      </c>
      <c r="H39" s="63" t="n"/>
      <c r="I39" s="63" t="n"/>
      <c r="J39" s="63" t="inlineStr">
        <is>
          <t>Pago</t>
        </is>
      </c>
      <c r="K39" s="63" t="n"/>
      <c r="L39" s="63" t="n"/>
      <c r="M39" s="63" t="n"/>
      <c r="N39" s="63" t="n"/>
      <c r="O39" s="63" t="n"/>
      <c r="P39" s="63" t="n"/>
      <c r="Q39" s="63" t="inlineStr">
        <is>
          <t>exemplo</t>
        </is>
      </c>
      <c r="R39" s="63" t="inlineStr">
        <is>
          <t>2026-10-17T12:00:00Z</t>
        </is>
      </c>
      <c r="S39" s="63" t="inlineStr">
        <is>
          <t>2026-10-17T12:00:00Z</t>
        </is>
      </c>
      <c r="T39" s="63" t="n"/>
      <c r="U39" s="63" t="n">
        <v>1</v>
      </c>
    </row>
    <row r="40">
      <c r="A40" s="63" t="inlineStr">
        <is>
          <t>807c7e30-a598-d0db-ccbf-d2ec8c53765f</t>
        </is>
      </c>
      <c r="B40" s="64" t="n">
        <v>46260</v>
      </c>
      <c r="C40" s="63" t="inlineStr">
        <is>
          <t>Despesa</t>
        </is>
      </c>
      <c r="D40" s="63" t="inlineStr">
        <is>
          <t>Transporte por app</t>
        </is>
      </c>
      <c r="E40" s="65" t="n">
        <v>36.2</v>
      </c>
      <c r="F40" s="63" t="inlineStr">
        <is>
          <t>Transporte</t>
        </is>
      </c>
      <c r="G40" s="63" t="inlineStr">
        <is>
          <t>Cartão de crédito</t>
        </is>
      </c>
      <c r="H40" s="63" t="n"/>
      <c r="I40" s="63" t="n"/>
      <c r="J40" s="63" t="inlineStr">
        <is>
          <t>Pago</t>
        </is>
      </c>
      <c r="K40" s="63" t="n"/>
      <c r="L40" s="63" t="n"/>
      <c r="M40" s="63" t="n"/>
      <c r="N40" s="63" t="n"/>
      <c r="O40" s="63" t="n"/>
      <c r="P40" s="64" t="n">
        <v>46293</v>
      </c>
      <c r="Q40" s="63" t="inlineStr">
        <is>
          <t>exemplo</t>
        </is>
      </c>
      <c r="R40" s="63" t="inlineStr">
        <is>
          <t>2026-10-17T12:00:00Z</t>
        </is>
      </c>
      <c r="S40" s="63" t="inlineStr">
        <is>
          <t>2026-10-17T12:00:00Z</t>
        </is>
      </c>
      <c r="T40" s="63" t="n"/>
      <c r="U40" s="63" t="n">
        <v>1</v>
      </c>
    </row>
    <row r="41">
      <c r="A41" s="63" t="inlineStr">
        <is>
          <t>d9814559-3a9a-fa39-e261-e34a7b6bc3c6</t>
        </is>
      </c>
      <c r="B41" s="64" t="n">
        <v>46261</v>
      </c>
      <c r="C41" s="63" t="inlineStr">
        <is>
          <t>Despesa</t>
        </is>
      </c>
      <c r="D41" s="63" t="inlineStr">
        <is>
          <t>Delivery</t>
        </is>
      </c>
      <c r="E41" s="65" t="n">
        <v>62.9</v>
      </c>
      <c r="F41" s="63" t="inlineStr">
        <is>
          <t>Alimentação</t>
        </is>
      </c>
      <c r="G41" s="63" t="inlineStr">
        <is>
          <t>Cartão de crédito</t>
        </is>
      </c>
      <c r="H41" s="63" t="n"/>
      <c r="I41" s="63" t="n"/>
      <c r="J41" s="63" t="inlineStr">
        <is>
          <t>Pago</t>
        </is>
      </c>
      <c r="K41" s="63" t="n"/>
      <c r="L41" s="63" t="n"/>
      <c r="M41" s="63" t="n"/>
      <c r="N41" s="63" t="n"/>
      <c r="O41" s="63" t="n"/>
      <c r="P41" s="64" t="n">
        <v>46293</v>
      </c>
      <c r="Q41" s="63" t="inlineStr">
        <is>
          <t>exemplo</t>
        </is>
      </c>
      <c r="R41" s="63" t="inlineStr">
        <is>
          <t>2026-10-17T12:00:00Z</t>
        </is>
      </c>
      <c r="S41" s="63" t="inlineStr">
        <is>
          <t>2026-10-17T12:00:00Z</t>
        </is>
      </c>
      <c r="T41" s="63" t="n"/>
      <c r="U41" s="63" t="n">
        <v>1</v>
      </c>
    </row>
    <row r="42">
      <c r="A42" s="63" t="inlineStr">
        <is>
          <t>f272c2ef-4ab8-bd10-6398-9ab940676334</t>
        </is>
      </c>
      <c r="B42" s="64" t="n">
        <v>46262</v>
      </c>
      <c r="C42" s="63" t="inlineStr">
        <is>
          <t>Transferência</t>
        </is>
      </c>
      <c r="D42" s="63" t="inlineStr">
        <is>
          <t>Pagamento da fatura</t>
        </is>
      </c>
      <c r="E42" s="65" t="n">
        <v>1850</v>
      </c>
      <c r="F42" s="63" t="n"/>
      <c r="G42" s="63" t="inlineStr">
        <is>
          <t>Conta corrente</t>
        </is>
      </c>
      <c r="H42" s="63" t="inlineStr">
        <is>
          <t>Cartão de crédito</t>
        </is>
      </c>
      <c r="I42" s="63" t="n"/>
      <c r="J42" s="63" t="inlineStr">
        <is>
          <t>Pago</t>
        </is>
      </c>
      <c r="K42" s="63" t="n"/>
      <c r="L42" s="63" t="n"/>
      <c r="M42" s="63" t="n"/>
      <c r="N42" s="63" t="n"/>
      <c r="O42" s="63" t="n"/>
      <c r="P42" s="63" t="n"/>
      <c r="Q42" s="63" t="inlineStr">
        <is>
          <t>exemplo</t>
        </is>
      </c>
      <c r="R42" s="63" t="inlineStr">
        <is>
          <t>2026-10-17T12:00:00Z</t>
        </is>
      </c>
      <c r="S42" s="63" t="inlineStr">
        <is>
          <t>2026-10-17T12:00:00Z</t>
        </is>
      </c>
      <c r="T42" s="63" t="n"/>
      <c r="U42" s="63" t="n">
        <v>1</v>
      </c>
    </row>
    <row r="43">
      <c r="A43" s="63" t="inlineStr">
        <is>
          <t>e5121482-3929-2d22-e255-accb1a466884</t>
        </is>
      </c>
      <c r="B43" s="64" t="n">
        <v>46265</v>
      </c>
      <c r="C43" s="63" t="inlineStr">
        <is>
          <t>Receita</t>
        </is>
      </c>
      <c r="D43" s="63" t="inlineStr">
        <is>
          <t>Rendimentos poupança</t>
        </is>
      </c>
      <c r="E43" s="65" t="n">
        <v>78</v>
      </c>
      <c r="F43" s="63" t="inlineStr">
        <is>
          <t>Rendimentos</t>
        </is>
      </c>
      <c r="G43" s="63" t="inlineStr">
        <is>
          <t>Poupança</t>
        </is>
      </c>
      <c r="H43" s="63" t="n"/>
      <c r="I43" s="63" t="n"/>
      <c r="J43" s="63" t="inlineStr">
        <is>
          <t>Pago</t>
        </is>
      </c>
      <c r="K43" s="63" t="n"/>
      <c r="L43" s="63" t="n"/>
      <c r="M43" s="63" t="n"/>
      <c r="N43" s="63" t="n"/>
      <c r="O43" s="63" t="n"/>
      <c r="P43" s="63" t="n"/>
      <c r="Q43" s="63" t="inlineStr">
        <is>
          <t>exemplo</t>
        </is>
      </c>
      <c r="R43" s="63" t="inlineStr">
        <is>
          <t>2026-10-17T12:00:00Z</t>
        </is>
      </c>
      <c r="S43" s="63" t="inlineStr">
        <is>
          <t>2026-10-17T12:00:00Z</t>
        </is>
      </c>
      <c r="T43" s="63" t="n"/>
      <c r="U43" s="63" t="n">
        <v>1</v>
      </c>
    </row>
    <row r="44">
      <c r="A44" s="63" t="inlineStr">
        <is>
          <t>a5497863-210f-4de3-053d-82cbe0b89bcb</t>
        </is>
      </c>
      <c r="B44" s="64" t="n">
        <v>46266</v>
      </c>
      <c r="C44" s="63" t="inlineStr">
        <is>
          <t>Despesa</t>
        </is>
      </c>
      <c r="D44" s="63" t="inlineStr">
        <is>
          <t>Curso de idiomas</t>
        </is>
      </c>
      <c r="E44" s="65" t="n">
        <v>189</v>
      </c>
      <c r="F44" s="63" t="inlineStr">
        <is>
          <t>Educação</t>
        </is>
      </c>
      <c r="G44" s="63" t="inlineStr">
        <is>
          <t>Conta corrente</t>
        </is>
      </c>
      <c r="H44" s="63" t="n"/>
      <c r="I44" s="63" t="n"/>
      <c r="J44" s="63" t="inlineStr">
        <is>
          <t>Pago</t>
        </is>
      </c>
      <c r="K44" s="63" t="n"/>
      <c r="L44" s="63" t="n"/>
      <c r="M44" s="63" t="n"/>
      <c r="N44" s="63" t="n"/>
      <c r="O44" s="63" t="n"/>
      <c r="P44" s="63" t="n"/>
      <c r="Q44" s="63" t="inlineStr">
        <is>
          <t>exemplo</t>
        </is>
      </c>
      <c r="R44" s="63" t="inlineStr">
        <is>
          <t>2026-10-17T12:00:00Z</t>
        </is>
      </c>
      <c r="S44" s="63" t="inlineStr">
        <is>
          <t>2026-10-17T12:00:00Z</t>
        </is>
      </c>
      <c r="T44" s="63" t="n"/>
      <c r="U44" s="63" t="n">
        <v>1</v>
      </c>
    </row>
    <row r="45">
      <c r="A45" s="63" t="inlineStr">
        <is>
          <t>279e6933-5b74-c718-a2aa-216ac1f6192b</t>
        </is>
      </c>
      <c r="B45" s="64" t="n">
        <v>46267</v>
      </c>
      <c r="C45" s="63" t="inlineStr">
        <is>
          <t>Despesa</t>
        </is>
      </c>
      <c r="D45" s="63" t="inlineStr">
        <is>
          <t>Mercado</t>
        </is>
      </c>
      <c r="E45" s="65" t="n">
        <v>412.8</v>
      </c>
      <c r="F45" s="63" t="inlineStr">
        <is>
          <t>Mercado</t>
        </is>
      </c>
      <c r="G45" s="63" t="inlineStr">
        <is>
          <t>Cartão de crédito</t>
        </is>
      </c>
      <c r="H45" s="63" t="n"/>
      <c r="I45" s="63" t="n"/>
      <c r="J45" s="63" t="inlineStr">
        <is>
          <t>Pago</t>
        </is>
      </c>
      <c r="K45" s="63" t="n"/>
      <c r="L45" s="63" t="n"/>
      <c r="M45" s="63" t="n"/>
      <c r="N45" s="63" t="n"/>
      <c r="O45" s="63" t="n"/>
      <c r="P45" s="64" t="n">
        <v>46293</v>
      </c>
      <c r="Q45" s="63" t="inlineStr">
        <is>
          <t>exemplo</t>
        </is>
      </c>
      <c r="R45" s="63" t="inlineStr">
        <is>
          <t>2026-10-17T12:00:00Z</t>
        </is>
      </c>
      <c r="S45" s="63" t="inlineStr">
        <is>
          <t>2026-10-17T12:00:00Z</t>
        </is>
      </c>
      <c r="T45" s="63" t="n"/>
      <c r="U45" s="63" t="n">
        <v>1</v>
      </c>
    </row>
    <row r="46">
      <c r="A46" s="63" t="inlineStr">
        <is>
          <t>9682e074-7915-72d5-3911-c9b08bb9c912</t>
        </is>
      </c>
      <c r="B46" s="64" t="n">
        <v>46268</v>
      </c>
      <c r="C46" s="63" t="inlineStr">
        <is>
          <t>Despesa</t>
        </is>
      </c>
      <c r="D46" s="63" t="inlineStr">
        <is>
          <t>Padaria</t>
        </is>
      </c>
      <c r="E46" s="65" t="n">
        <v>24.5</v>
      </c>
      <c r="F46" s="63" t="inlineStr">
        <is>
          <t>Alimentação</t>
        </is>
      </c>
      <c r="G46" s="63" t="inlineStr">
        <is>
          <t>Carteira</t>
        </is>
      </c>
      <c r="H46" s="63" t="n"/>
      <c r="I46" s="63" t="n"/>
      <c r="J46" s="63" t="inlineStr">
        <is>
          <t>Pago</t>
        </is>
      </c>
      <c r="K46" s="63" t="n"/>
      <c r="L46" s="63" t="n"/>
      <c r="M46" s="63" t="n"/>
      <c r="N46" s="63" t="n"/>
      <c r="O46" s="63" t="n"/>
      <c r="P46" s="63" t="n"/>
      <c r="Q46" s="63" t="inlineStr">
        <is>
          <t>exemplo</t>
        </is>
      </c>
      <c r="R46" s="63" t="inlineStr">
        <is>
          <t>2026-10-17T12:00:00Z</t>
        </is>
      </c>
      <c r="S46" s="63" t="inlineStr">
        <is>
          <t>2026-10-17T12:00:00Z</t>
        </is>
      </c>
      <c r="T46" s="63" t="n"/>
      <c r="U46" s="63" t="n">
        <v>1</v>
      </c>
    </row>
    <row r="47">
      <c r="A47" s="63" t="inlineStr">
        <is>
          <t>c07991d4-0b6e-c6f3-9efe-bfda1eedfcfc</t>
        </is>
      </c>
      <c r="B47" s="64" t="n">
        <v>46268</v>
      </c>
      <c r="C47" s="63" t="inlineStr">
        <is>
          <t>Despesa</t>
        </is>
      </c>
      <c r="D47" s="63" t="inlineStr">
        <is>
          <t>Streaming de vídeo</t>
        </is>
      </c>
      <c r="E47" s="65" t="n">
        <v>55.9</v>
      </c>
      <c r="F47" s="63" t="inlineStr">
        <is>
          <t>Assinaturas</t>
        </is>
      </c>
      <c r="G47" s="63" t="inlineStr">
        <is>
          <t>Cartão de crédito</t>
        </is>
      </c>
      <c r="H47" s="63" t="n"/>
      <c r="I47" s="63" t="n"/>
      <c r="J47" s="63" t="inlineStr">
        <is>
          <t>Pago</t>
        </is>
      </c>
      <c r="K47" s="63" t="n"/>
      <c r="L47" s="63" t="n"/>
      <c r="M47" s="63" t="n"/>
      <c r="N47" s="63" t="n"/>
      <c r="O47" s="63" t="n"/>
      <c r="P47" s="64" t="n">
        <v>46293</v>
      </c>
      <c r="Q47" s="63" t="inlineStr">
        <is>
          <t>exemplo</t>
        </is>
      </c>
      <c r="R47" s="63" t="inlineStr">
        <is>
          <t>2026-10-17T12:00:00Z</t>
        </is>
      </c>
      <c r="S47" s="63" t="inlineStr">
        <is>
          <t>2026-10-17T12:00:00Z</t>
        </is>
      </c>
      <c r="T47" s="63" t="n"/>
      <c r="U47" s="63" t="n">
        <v>1</v>
      </c>
    </row>
    <row r="48">
      <c r="A48" s="63" t="inlineStr">
        <is>
          <t>ab215122-44be-cdce-f4d4-75ec8be40e7f</t>
        </is>
      </c>
      <c r="B48" s="64" t="n">
        <v>46269</v>
      </c>
      <c r="C48" s="63" t="inlineStr">
        <is>
          <t>Despesa</t>
        </is>
      </c>
      <c r="D48" s="63" t="inlineStr">
        <is>
          <t>Streaming de música</t>
        </is>
      </c>
      <c r="E48" s="65" t="n">
        <v>21.9</v>
      </c>
      <c r="F48" s="63" t="inlineStr">
        <is>
          <t>Assinaturas</t>
        </is>
      </c>
      <c r="G48" s="63" t="inlineStr">
        <is>
          <t>Cartão de crédito</t>
        </is>
      </c>
      <c r="H48" s="63" t="n"/>
      <c r="I48" s="63" t="n"/>
      <c r="J48" s="63" t="inlineStr">
        <is>
          <t>Pago</t>
        </is>
      </c>
      <c r="K48" s="63" t="n"/>
      <c r="L48" s="63" t="n"/>
      <c r="M48" s="63" t="n"/>
      <c r="N48" s="63" t="n"/>
      <c r="O48" s="63" t="n"/>
      <c r="P48" s="64" t="n">
        <v>46293</v>
      </c>
      <c r="Q48" s="63" t="inlineStr">
        <is>
          <t>exemplo</t>
        </is>
      </c>
      <c r="R48" s="63" t="inlineStr">
        <is>
          <t>2026-10-17T12:00:00Z</t>
        </is>
      </c>
      <c r="S48" s="63" t="inlineStr">
        <is>
          <t>2026-10-17T12:00:00Z</t>
        </is>
      </c>
      <c r="T48" s="63" t="n"/>
      <c r="U48" s="63" t="n">
        <v>1</v>
      </c>
    </row>
    <row r="49">
      <c r="A49" s="63" t="inlineStr">
        <is>
          <t>1f124a78-e9f9-1484-5377-899a733c6676</t>
        </is>
      </c>
      <c r="B49" s="64" t="n">
        <v>46269</v>
      </c>
      <c r="C49" s="63" t="inlineStr">
        <is>
          <t>Despesa</t>
        </is>
      </c>
      <c r="D49" s="63" t="inlineStr">
        <is>
          <t>Transporte por app</t>
        </is>
      </c>
      <c r="E49" s="65" t="n">
        <v>28.4</v>
      </c>
      <c r="F49" s="63" t="inlineStr">
        <is>
          <t>Transporte</t>
        </is>
      </c>
      <c r="G49" s="63" t="inlineStr">
        <is>
          <t>Cartão de crédito</t>
        </is>
      </c>
      <c r="H49" s="63" t="n"/>
      <c r="I49" s="63" t="n"/>
      <c r="J49" s="63" t="inlineStr">
        <is>
          <t>Pago</t>
        </is>
      </c>
      <c r="K49" s="63" t="n"/>
      <c r="L49" s="63" t="n"/>
      <c r="M49" s="63" t="n"/>
      <c r="N49" s="63" t="n"/>
      <c r="O49" s="63" t="n"/>
      <c r="P49" s="64" t="n">
        <v>46293</v>
      </c>
      <c r="Q49" s="63" t="inlineStr">
        <is>
          <t>exemplo</t>
        </is>
      </c>
      <c r="R49" s="63" t="inlineStr">
        <is>
          <t>2026-10-17T12:00:00Z</t>
        </is>
      </c>
      <c r="S49" s="63" t="inlineStr">
        <is>
          <t>2026-10-17T12:00:00Z</t>
        </is>
      </c>
      <c r="T49" s="63" t="n"/>
      <c r="U49" s="63" t="n">
        <v>1</v>
      </c>
    </row>
    <row r="50">
      <c r="A50" s="63" t="inlineStr">
        <is>
          <t>44371ff3-a607-41f3-1075-a5b0f0acdebe</t>
        </is>
      </c>
      <c r="B50" s="64" t="n">
        <v>46270</v>
      </c>
      <c r="C50" s="63" t="inlineStr">
        <is>
          <t>Despesa</t>
        </is>
      </c>
      <c r="D50" s="63" t="inlineStr">
        <is>
          <t>Aluguel</t>
        </is>
      </c>
      <c r="E50" s="65" t="n">
        <v>2100</v>
      </c>
      <c r="F50" s="63" t="inlineStr">
        <is>
          <t>Moradia</t>
        </is>
      </c>
      <c r="G50" s="63" t="inlineStr">
        <is>
          <t>Conta corrente</t>
        </is>
      </c>
      <c r="H50" s="63" t="n"/>
      <c r="I50" s="63" t="n"/>
      <c r="J50" s="63" t="inlineStr">
        <is>
          <t>Pago</t>
        </is>
      </c>
      <c r="K50" s="63" t="n"/>
      <c r="L50" s="63" t="n"/>
      <c r="M50" s="63" t="n"/>
      <c r="N50" s="63" t="n"/>
      <c r="O50" s="63" t="n"/>
      <c r="P50" s="63" t="n"/>
      <c r="Q50" s="63" t="inlineStr">
        <is>
          <t>exemplo</t>
        </is>
      </c>
      <c r="R50" s="63" t="inlineStr">
        <is>
          <t>2026-10-17T12:00:00Z</t>
        </is>
      </c>
      <c r="S50" s="63" t="inlineStr">
        <is>
          <t>2026-10-17T12:00:00Z</t>
        </is>
      </c>
      <c r="T50" s="63" t="n"/>
      <c r="U50" s="63" t="n">
        <v>1</v>
      </c>
    </row>
    <row r="51">
      <c r="A51" s="63" t="inlineStr">
        <is>
          <t>c8fb4456-b76d-c0c3-b078-22db703e53cf</t>
        </is>
      </c>
      <c r="B51" s="64" t="n">
        <v>46270</v>
      </c>
      <c r="C51" s="63" t="inlineStr">
        <is>
          <t>Receita</t>
        </is>
      </c>
      <c r="D51" s="63" t="inlineStr">
        <is>
          <t>Salário</t>
        </is>
      </c>
      <c r="E51" s="65" t="n">
        <v>6200</v>
      </c>
      <c r="F51" s="63" t="inlineStr">
        <is>
          <t>Salário</t>
        </is>
      </c>
      <c r="G51" s="63" t="inlineStr">
        <is>
          <t>Conta corrente</t>
        </is>
      </c>
      <c r="H51" s="63" t="n"/>
      <c r="I51" s="63" t="n"/>
      <c r="J51" s="63" t="inlineStr">
        <is>
          <t>Pago</t>
        </is>
      </c>
      <c r="K51" s="63" t="n"/>
      <c r="L51" s="63" t="n"/>
      <c r="M51" s="63" t="n"/>
      <c r="N51" s="63" t="n"/>
      <c r="O51" s="63" t="n"/>
      <c r="P51" s="63" t="n"/>
      <c r="Q51" s="63" t="inlineStr">
        <is>
          <t>exemplo</t>
        </is>
      </c>
      <c r="R51" s="63" t="inlineStr">
        <is>
          <t>2026-10-17T12:00:00Z</t>
        </is>
      </c>
      <c r="S51" s="63" t="inlineStr">
        <is>
          <t>2026-10-17T12:00:00Z</t>
        </is>
      </c>
      <c r="T51" s="63" t="n"/>
      <c r="U51" s="63" t="n">
        <v>1</v>
      </c>
    </row>
    <row r="52">
      <c r="A52" s="63" t="inlineStr">
        <is>
          <t>11cb4ea7-b5fc-684a-adb2-10953bbb492b</t>
        </is>
      </c>
      <c r="B52" s="64" t="n">
        <v>46271</v>
      </c>
      <c r="C52" s="63" t="inlineStr">
        <is>
          <t>Despesa</t>
        </is>
      </c>
      <c r="D52" s="63" t="inlineStr">
        <is>
          <t>Combustível</t>
        </is>
      </c>
      <c r="E52" s="65" t="n">
        <v>224</v>
      </c>
      <c r="F52" s="63" t="inlineStr">
        <is>
          <t>Transporte</t>
        </is>
      </c>
      <c r="G52" s="63" t="inlineStr">
        <is>
          <t>Conta corrente</t>
        </is>
      </c>
      <c r="H52" s="63" t="n"/>
      <c r="I52" s="63" t="n"/>
      <c r="J52" s="63" t="inlineStr">
        <is>
          <t>Pago</t>
        </is>
      </c>
      <c r="K52" s="63" t="n"/>
      <c r="L52" s="63" t="n"/>
      <c r="M52" s="63" t="n"/>
      <c r="N52" s="63" t="n"/>
      <c r="O52" s="63" t="n"/>
      <c r="P52" s="63" t="n"/>
      <c r="Q52" s="63" t="inlineStr">
        <is>
          <t>exemplo</t>
        </is>
      </c>
      <c r="R52" s="63" t="inlineStr">
        <is>
          <t>2026-10-17T12:00:00Z</t>
        </is>
      </c>
      <c r="S52" s="63" t="inlineStr">
        <is>
          <t>2026-10-17T12:00:00Z</t>
        </is>
      </c>
      <c r="T52" s="63" t="n"/>
      <c r="U52" s="63" t="n">
        <v>1</v>
      </c>
    </row>
    <row r="53">
      <c r="A53" s="63" t="inlineStr">
        <is>
          <t>b14ab8e9-e041-2118-991f-77c9f551abfd</t>
        </is>
      </c>
      <c r="B53" s="64" t="n">
        <v>46271</v>
      </c>
      <c r="C53" s="63" t="inlineStr">
        <is>
          <t>Despesa</t>
        </is>
      </c>
      <c r="D53" s="63" t="inlineStr">
        <is>
          <t>Padaria</t>
        </is>
      </c>
      <c r="E53" s="65" t="n">
        <v>31</v>
      </c>
      <c r="F53" s="63" t="inlineStr">
        <is>
          <t>Alimentação</t>
        </is>
      </c>
      <c r="G53" s="63" t="inlineStr">
        <is>
          <t>Conta corrente</t>
        </is>
      </c>
      <c r="H53" s="63" t="n"/>
      <c r="I53" s="63" t="n"/>
      <c r="J53" s="63" t="inlineStr">
        <is>
          <t>Pago</t>
        </is>
      </c>
      <c r="K53" s="63" t="n"/>
      <c r="L53" s="63" t="n"/>
      <c r="M53" s="63" t="n"/>
      <c r="N53" s="63" t="n"/>
      <c r="O53" s="63" t="n"/>
      <c r="P53" s="63" t="n"/>
      <c r="Q53" s="63" t="inlineStr">
        <is>
          <t>exemplo</t>
        </is>
      </c>
      <c r="R53" s="63" t="inlineStr">
        <is>
          <t>2026-10-17T12:00:00Z</t>
        </is>
      </c>
      <c r="S53" s="63" t="inlineStr">
        <is>
          <t>2026-10-17T12:00:00Z</t>
        </is>
      </c>
      <c r="T53" s="63" t="n"/>
      <c r="U53" s="63" t="n">
        <v>1</v>
      </c>
    </row>
    <row r="54">
      <c r="A54" s="63" t="inlineStr">
        <is>
          <t>2f9e09c9-d828-f123-a945-e7bb290f5d0f</t>
        </is>
      </c>
      <c r="B54" s="64" t="n">
        <v>46271</v>
      </c>
      <c r="C54" s="63" t="inlineStr">
        <is>
          <t>Transferência</t>
        </is>
      </c>
      <c r="D54" s="63" t="inlineStr">
        <is>
          <t>Reserva mensal</t>
        </is>
      </c>
      <c r="E54" s="65" t="n">
        <v>1000</v>
      </c>
      <c r="F54" s="63" t="n"/>
      <c r="G54" s="63" t="inlineStr">
        <is>
          <t>Conta corrente</t>
        </is>
      </c>
      <c r="H54" s="63" t="inlineStr">
        <is>
          <t>Poupança</t>
        </is>
      </c>
      <c r="I54" s="63" t="n"/>
      <c r="J54" s="63" t="inlineStr">
        <is>
          <t>Pago</t>
        </is>
      </c>
      <c r="K54" s="63" t="n"/>
      <c r="L54" s="63" t="n"/>
      <c r="M54" s="63" t="n"/>
      <c r="N54" s="63" t="n"/>
      <c r="O54" s="63" t="n"/>
      <c r="P54" s="63" t="n"/>
      <c r="Q54" s="63" t="inlineStr">
        <is>
          <t>exemplo</t>
        </is>
      </c>
      <c r="R54" s="63" t="inlineStr">
        <is>
          <t>2026-10-17T12:00:00Z</t>
        </is>
      </c>
      <c r="S54" s="63" t="inlineStr">
        <is>
          <t>2026-10-17T12:00:00Z</t>
        </is>
      </c>
      <c r="T54" s="63" t="n"/>
      <c r="U54" s="63" t="n">
        <v>1</v>
      </c>
    </row>
    <row r="55">
      <c r="A55" s="63" t="inlineStr">
        <is>
          <t>e344f1c3-63ac-4f14-1b2b-980ef57585ce</t>
        </is>
      </c>
      <c r="B55" s="64" t="n">
        <v>46272</v>
      </c>
      <c r="C55" s="63" t="inlineStr">
        <is>
          <t>Despesa</t>
        </is>
      </c>
      <c r="D55" s="63" t="inlineStr">
        <is>
          <t>Restaurante</t>
        </is>
      </c>
      <c r="E55" s="65" t="n">
        <v>96</v>
      </c>
      <c r="F55" s="63" t="inlineStr">
        <is>
          <t>Alimentação</t>
        </is>
      </c>
      <c r="G55" s="63" t="inlineStr">
        <is>
          <t>Cartão de crédito</t>
        </is>
      </c>
      <c r="H55" s="63" t="n"/>
      <c r="I55" s="63" t="n"/>
      <c r="J55" s="63" t="inlineStr">
        <is>
          <t>Pago</t>
        </is>
      </c>
      <c r="K55" s="63" t="n"/>
      <c r="L55" s="63" t="n"/>
      <c r="M55" s="63" t="n"/>
      <c r="N55" s="63" t="n"/>
      <c r="O55" s="63" t="n"/>
      <c r="P55" s="64" t="n">
        <v>46293</v>
      </c>
      <c r="Q55" s="63" t="inlineStr">
        <is>
          <t>exemplo</t>
        </is>
      </c>
      <c r="R55" s="63" t="inlineStr">
        <is>
          <t>2026-10-17T12:00:00Z</t>
        </is>
      </c>
      <c r="S55" s="63" t="inlineStr">
        <is>
          <t>2026-10-17T12:00:00Z</t>
        </is>
      </c>
      <c r="T55" s="63" t="n"/>
      <c r="U55" s="63" t="n">
        <v>1</v>
      </c>
    </row>
    <row r="56">
      <c r="A56" s="63" t="inlineStr">
        <is>
          <t>73f29c6a-4242-c225-83e2-665af6540600</t>
        </is>
      </c>
      <c r="B56" s="64" t="n">
        <v>46272</v>
      </c>
      <c r="C56" s="63" t="inlineStr">
        <is>
          <t>Receita</t>
        </is>
      </c>
      <c r="D56" s="63" t="inlineStr">
        <is>
          <t>Salário</t>
        </is>
      </c>
      <c r="E56" s="65" t="n">
        <v>4800</v>
      </c>
      <c r="F56" s="63" t="inlineStr">
        <is>
          <t>Salário</t>
        </is>
      </c>
      <c r="G56" s="63" t="inlineStr">
        <is>
          <t>Conta corrente</t>
        </is>
      </c>
      <c r="H56" s="63" t="n"/>
      <c r="I56" s="63" t="n"/>
      <c r="J56" s="63" t="inlineStr">
        <is>
          <t>Pago</t>
        </is>
      </c>
      <c r="K56" s="63" t="n"/>
      <c r="L56" s="63" t="n"/>
      <c r="M56" s="63" t="n"/>
      <c r="N56" s="63" t="n"/>
      <c r="O56" s="63" t="n"/>
      <c r="P56" s="63" t="n"/>
      <c r="Q56" s="63" t="inlineStr">
        <is>
          <t>exemplo</t>
        </is>
      </c>
      <c r="R56" s="63" t="inlineStr">
        <is>
          <t>2026-10-17T12:00:00Z</t>
        </is>
      </c>
      <c r="S56" s="63" t="inlineStr">
        <is>
          <t>2026-10-17T12:00:00Z</t>
        </is>
      </c>
      <c r="T56" s="63" t="n"/>
      <c r="U56" s="63" t="n">
        <v>1</v>
      </c>
    </row>
    <row r="57">
      <c r="A57" s="63" t="inlineStr">
        <is>
          <t>1543c8ef-d61b-5e08-eea3-3d4e8bed5b65</t>
        </is>
      </c>
      <c r="B57" s="64" t="n">
        <v>46273</v>
      </c>
      <c r="C57" s="63" t="inlineStr">
        <is>
          <t>Despesa</t>
        </is>
      </c>
      <c r="D57" s="63" t="inlineStr">
        <is>
          <t>Plano de saúde</t>
        </is>
      </c>
      <c r="E57" s="65" t="n">
        <v>520</v>
      </c>
      <c r="F57" s="63" t="inlineStr">
        <is>
          <t>Saúde</t>
        </is>
      </c>
      <c r="G57" s="63" t="inlineStr">
        <is>
          <t>Conta corrente</t>
        </is>
      </c>
      <c r="H57" s="63" t="n"/>
      <c r="I57" s="63" t="n"/>
      <c r="J57" s="63" t="inlineStr">
        <is>
          <t>Pago</t>
        </is>
      </c>
      <c r="K57" s="63" t="n"/>
      <c r="L57" s="63" t="n"/>
      <c r="M57" s="63" t="n"/>
      <c r="N57" s="63" t="n"/>
      <c r="O57" s="63" t="n"/>
      <c r="P57" s="63" t="n"/>
      <c r="Q57" s="63" t="inlineStr">
        <is>
          <t>exemplo</t>
        </is>
      </c>
      <c r="R57" s="63" t="inlineStr">
        <is>
          <t>2026-10-17T12:00:00Z</t>
        </is>
      </c>
      <c r="S57" s="63" t="inlineStr">
        <is>
          <t>2026-10-17T12:00:00Z</t>
        </is>
      </c>
      <c r="T57" s="63" t="n"/>
      <c r="U57" s="63" t="n">
        <v>1</v>
      </c>
    </row>
    <row r="58">
      <c r="A58" s="63" t="inlineStr">
        <is>
          <t>3f724926-32e4-034c-cb34-8cea9c31b930</t>
        </is>
      </c>
      <c r="B58" s="64" t="n">
        <v>46274</v>
      </c>
      <c r="C58" s="63" t="inlineStr">
        <is>
          <t>Despesa</t>
        </is>
      </c>
      <c r="D58" s="63" t="inlineStr">
        <is>
          <t>Academia</t>
        </is>
      </c>
      <c r="E58" s="65" t="n">
        <v>109.9</v>
      </c>
      <c r="F58" s="63" t="inlineStr">
        <is>
          <t>Cuidados pessoais</t>
        </is>
      </c>
      <c r="G58" s="63" t="inlineStr">
        <is>
          <t>Conta corrente</t>
        </is>
      </c>
      <c r="H58" s="63" t="n"/>
      <c r="I58" s="63" t="n"/>
      <c r="J58" s="63" t="inlineStr">
        <is>
          <t>Pago</t>
        </is>
      </c>
      <c r="K58" s="63" t="n"/>
      <c r="L58" s="63" t="n"/>
      <c r="M58" s="63" t="n"/>
      <c r="N58" s="63" t="n"/>
      <c r="O58" s="63" t="n"/>
      <c r="P58" s="63" t="n"/>
      <c r="Q58" s="63" t="inlineStr">
        <is>
          <t>exemplo</t>
        </is>
      </c>
      <c r="R58" s="63" t="inlineStr">
        <is>
          <t>2026-10-17T12:00:00Z</t>
        </is>
      </c>
      <c r="S58" s="63" t="inlineStr">
        <is>
          <t>2026-10-17T12:00:00Z</t>
        </is>
      </c>
      <c r="T58" s="63" t="n"/>
      <c r="U58" s="63" t="n">
        <v>1</v>
      </c>
    </row>
    <row r="59">
      <c r="A59" s="63" t="inlineStr">
        <is>
          <t>88736737-6ce4-048f-45d6-ac4263d52b10</t>
        </is>
      </c>
      <c r="B59" s="64" t="n">
        <v>46274</v>
      </c>
      <c r="C59" s="63" t="inlineStr">
        <is>
          <t>Transferência</t>
        </is>
      </c>
      <c r="D59" s="63" t="inlineStr">
        <is>
          <t>Aporte investimentos</t>
        </is>
      </c>
      <c r="E59" s="65" t="n">
        <v>500</v>
      </c>
      <c r="F59" s="63" t="n"/>
      <c r="G59" s="63" t="inlineStr">
        <is>
          <t>Poupança</t>
        </is>
      </c>
      <c r="H59" s="63" t="inlineStr">
        <is>
          <t>Investimentos</t>
        </is>
      </c>
      <c r="I59" s="63" t="n"/>
      <c r="J59" s="63" t="inlineStr">
        <is>
          <t>Pago</t>
        </is>
      </c>
      <c r="K59" s="63" t="n"/>
      <c r="L59" s="63" t="n"/>
      <c r="M59" s="63" t="n"/>
      <c r="N59" s="63" t="n"/>
      <c r="O59" s="63" t="n"/>
      <c r="P59" s="63" t="n"/>
      <c r="Q59" s="63" t="inlineStr">
        <is>
          <t>exemplo</t>
        </is>
      </c>
      <c r="R59" s="63" t="inlineStr">
        <is>
          <t>2026-10-17T12:00:00Z</t>
        </is>
      </c>
      <c r="S59" s="63" t="inlineStr">
        <is>
          <t>2026-10-17T12:00:00Z</t>
        </is>
      </c>
      <c r="T59" s="63" t="n"/>
      <c r="U59" s="63" t="n">
        <v>1</v>
      </c>
    </row>
    <row r="60">
      <c r="A60" s="63" t="inlineStr">
        <is>
          <t>9543c6c3-aa22-0078-503d-c86b01504585</t>
        </is>
      </c>
      <c r="B60" s="64" t="n">
        <v>46274</v>
      </c>
      <c r="C60" s="63" t="inlineStr">
        <is>
          <t>Despesa</t>
        </is>
      </c>
      <c r="D60" s="63" t="inlineStr">
        <is>
          <t>Mercado</t>
        </is>
      </c>
      <c r="E60" s="65" t="n">
        <v>388.45</v>
      </c>
      <c r="F60" s="63" t="inlineStr">
        <is>
          <t>Mercado</t>
        </is>
      </c>
      <c r="G60" s="63" t="inlineStr">
        <is>
          <t>Cartão de crédito</t>
        </is>
      </c>
      <c r="H60" s="63" t="n"/>
      <c r="I60" s="63" t="n"/>
      <c r="J60" s="63" t="inlineStr">
        <is>
          <t>Pago</t>
        </is>
      </c>
      <c r="K60" s="63" t="n"/>
      <c r="L60" s="63" t="n"/>
      <c r="M60" s="63" t="n"/>
      <c r="N60" s="63" t="n"/>
      <c r="O60" s="63" t="n"/>
      <c r="P60" s="64" t="n">
        <v>46293</v>
      </c>
      <c r="Q60" s="63" t="inlineStr">
        <is>
          <t>exemplo</t>
        </is>
      </c>
      <c r="R60" s="63" t="inlineStr">
        <is>
          <t>2026-10-17T12:00:00Z</t>
        </is>
      </c>
      <c r="S60" s="63" t="inlineStr">
        <is>
          <t>2026-10-17T12:00:00Z</t>
        </is>
      </c>
      <c r="T60" s="63" t="n"/>
      <c r="U60" s="63" t="n">
        <v>1</v>
      </c>
    </row>
    <row r="61">
      <c r="A61" s="63" t="inlineStr">
        <is>
          <t>18bee074-5ec0-c260-7f98-80a6e73c49ea</t>
        </is>
      </c>
      <c r="B61" s="64" t="n">
        <v>46275</v>
      </c>
      <c r="C61" s="63" t="inlineStr">
        <is>
          <t>Despesa</t>
        </is>
      </c>
      <c r="D61" s="63" t="inlineStr">
        <is>
          <t>Condomínio</t>
        </is>
      </c>
      <c r="E61" s="65" t="n">
        <v>450</v>
      </c>
      <c r="F61" s="63" t="inlineStr">
        <is>
          <t>Moradia</t>
        </is>
      </c>
      <c r="G61" s="63" t="inlineStr">
        <is>
          <t>Conta corrente</t>
        </is>
      </c>
      <c r="H61" s="63" t="n"/>
      <c r="I61" s="63" t="n"/>
      <c r="J61" s="63" t="inlineStr">
        <is>
          <t>Pago</t>
        </is>
      </c>
      <c r="K61" s="63" t="n"/>
      <c r="L61" s="63" t="n"/>
      <c r="M61" s="63" t="n"/>
      <c r="N61" s="63" t="n"/>
      <c r="O61" s="63" t="n"/>
      <c r="P61" s="63" t="n"/>
      <c r="Q61" s="63" t="inlineStr">
        <is>
          <t>exemplo</t>
        </is>
      </c>
      <c r="R61" s="63" t="inlineStr">
        <is>
          <t>2026-10-17T12:00:00Z</t>
        </is>
      </c>
      <c r="S61" s="63" t="inlineStr">
        <is>
          <t>2026-10-17T12:00:00Z</t>
        </is>
      </c>
      <c r="T61" s="63" t="n"/>
      <c r="U61" s="63" t="n">
        <v>1</v>
      </c>
    </row>
    <row r="62">
      <c r="A62" s="63" t="inlineStr">
        <is>
          <t>9e5cf6e9-9255-9248-7771-f894f2e36355</t>
        </is>
      </c>
      <c r="B62" s="64" t="n">
        <v>46275</v>
      </c>
      <c r="C62" s="63" t="inlineStr">
        <is>
          <t>Despesa</t>
        </is>
      </c>
      <c r="D62" s="63" t="inlineStr">
        <is>
          <t>Transporte por app</t>
        </is>
      </c>
      <c r="E62" s="65" t="n">
        <v>41.9</v>
      </c>
      <c r="F62" s="63" t="inlineStr">
        <is>
          <t>Transporte</t>
        </is>
      </c>
      <c r="G62" s="63" t="inlineStr">
        <is>
          <t>Cartão de crédito</t>
        </is>
      </c>
      <c r="H62" s="63" t="n"/>
      <c r="I62" s="63" t="n"/>
      <c r="J62" s="63" t="inlineStr">
        <is>
          <t>Pago</t>
        </is>
      </c>
      <c r="K62" s="63" t="n"/>
      <c r="L62" s="63" t="n"/>
      <c r="M62" s="63" t="n"/>
      <c r="N62" s="63" t="n"/>
      <c r="O62" s="63" t="n"/>
      <c r="P62" s="64" t="n">
        <v>46293</v>
      </c>
      <c r="Q62" s="63" t="inlineStr">
        <is>
          <t>exemplo</t>
        </is>
      </c>
      <c r="R62" s="63" t="inlineStr">
        <is>
          <t>2026-10-17T12:00:00Z</t>
        </is>
      </c>
      <c r="S62" s="63" t="inlineStr">
        <is>
          <t>2026-10-17T12:00:00Z</t>
        </is>
      </c>
      <c r="T62" s="63" t="n"/>
      <c r="U62" s="63" t="n">
        <v>1</v>
      </c>
    </row>
    <row r="63">
      <c r="A63" s="63" t="inlineStr">
        <is>
          <t>0b94a014-2c61-93cc-ebe4-8123a5b0e526</t>
        </is>
      </c>
      <c r="B63" s="64" t="n">
        <v>46276</v>
      </c>
      <c r="C63" s="63" t="inlineStr">
        <is>
          <t>Despesa</t>
        </is>
      </c>
      <c r="D63" s="63" t="inlineStr">
        <is>
          <t>Farmácia</t>
        </is>
      </c>
      <c r="E63" s="65" t="n">
        <v>87.59999999999999</v>
      </c>
      <c r="F63" s="63" t="inlineStr">
        <is>
          <t>Saúde</t>
        </is>
      </c>
      <c r="G63" s="63" t="inlineStr">
        <is>
          <t>Conta corrente</t>
        </is>
      </c>
      <c r="H63" s="63" t="n"/>
      <c r="I63" s="63" t="n"/>
      <c r="J63" s="63" t="inlineStr">
        <is>
          <t>Pago</t>
        </is>
      </c>
      <c r="K63" s="63" t="n"/>
      <c r="L63" s="63" t="n"/>
      <c r="M63" s="63" t="n"/>
      <c r="N63" s="63" t="n"/>
      <c r="O63" s="63" t="n"/>
      <c r="P63" s="63" t="n"/>
      <c r="Q63" s="63" t="inlineStr">
        <is>
          <t>exemplo</t>
        </is>
      </c>
      <c r="R63" s="63" t="inlineStr">
        <is>
          <t>2026-10-17T12:00:00Z</t>
        </is>
      </c>
      <c r="S63" s="63" t="inlineStr">
        <is>
          <t>2026-10-17T12:00:00Z</t>
        </is>
      </c>
      <c r="T63" s="63" t="n"/>
      <c r="U63" s="63" t="n">
        <v>1</v>
      </c>
    </row>
    <row r="64">
      <c r="A64" s="63" t="inlineStr">
        <is>
          <t>28fdb92d-ab26-6981-6af3-8f6c159d6a38</t>
        </is>
      </c>
      <c r="B64" s="64" t="n">
        <v>46276</v>
      </c>
      <c r="C64" s="63" t="inlineStr">
        <is>
          <t>Despesa</t>
        </is>
      </c>
      <c r="D64" s="63" t="inlineStr">
        <is>
          <t>Padaria</t>
        </is>
      </c>
      <c r="E64" s="65" t="n">
        <v>18.9</v>
      </c>
      <c r="F64" s="63" t="inlineStr">
        <is>
          <t>Alimentação</t>
        </is>
      </c>
      <c r="G64" s="63" t="inlineStr">
        <is>
          <t>Carteira</t>
        </is>
      </c>
      <c r="H64" s="63" t="n"/>
      <c r="I64" s="63" t="n"/>
      <c r="J64" s="63" t="inlineStr">
        <is>
          <t>Pago</t>
        </is>
      </c>
      <c r="K64" s="63" t="n"/>
      <c r="L64" s="63" t="n"/>
      <c r="M64" s="63" t="n"/>
      <c r="N64" s="63" t="n"/>
      <c r="O64" s="63" t="n"/>
      <c r="P64" s="63" t="n"/>
      <c r="Q64" s="63" t="inlineStr">
        <is>
          <t>exemplo</t>
        </is>
      </c>
      <c r="R64" s="63" t="inlineStr">
        <is>
          <t>2026-10-17T12:00:00Z</t>
        </is>
      </c>
      <c r="S64" s="63" t="inlineStr">
        <is>
          <t>2026-10-17T12:00:00Z</t>
        </is>
      </c>
      <c r="T64" s="63" t="n"/>
      <c r="U64" s="63" t="n">
        <v>1</v>
      </c>
    </row>
    <row r="65">
      <c r="A65" s="63" t="inlineStr">
        <is>
          <t>694baad6-db4c-9492-bf5f-85e231d06d9c</t>
        </is>
      </c>
      <c r="B65" s="64" t="n">
        <v>46277</v>
      </c>
      <c r="C65" s="63" t="inlineStr">
        <is>
          <t>Despesa</t>
        </is>
      </c>
      <c r="D65" s="63" t="inlineStr">
        <is>
          <t>Energia elétrica</t>
        </is>
      </c>
      <c r="E65" s="65" t="n">
        <v>231.9</v>
      </c>
      <c r="F65" s="63" t="inlineStr">
        <is>
          <t>Contas e serviços</t>
        </is>
      </c>
      <c r="G65" s="63" t="inlineStr">
        <is>
          <t>Conta corrente</t>
        </is>
      </c>
      <c r="H65" s="63" t="n"/>
      <c r="I65" s="63" t="n"/>
      <c r="J65" s="63" t="inlineStr">
        <is>
          <t>Pago</t>
        </is>
      </c>
      <c r="K65" s="63" t="n"/>
      <c r="L65" s="63" t="n"/>
      <c r="M65" s="63" t="n"/>
      <c r="N65" s="63" t="n"/>
      <c r="O65" s="63" t="n"/>
      <c r="P65" s="63" t="n"/>
      <c r="Q65" s="63" t="inlineStr">
        <is>
          <t>exemplo</t>
        </is>
      </c>
      <c r="R65" s="63" t="inlineStr">
        <is>
          <t>2026-10-17T12:00:00Z</t>
        </is>
      </c>
      <c r="S65" s="63" t="inlineStr">
        <is>
          <t>2026-10-17T12:00:00Z</t>
        </is>
      </c>
      <c r="T65" s="63" t="n"/>
      <c r="U65" s="63" t="n">
        <v>1</v>
      </c>
    </row>
    <row r="66">
      <c r="A66" s="63" t="inlineStr">
        <is>
          <t>e1f66c3a-c910-8f89-37fe-43eb87a9ec13</t>
        </is>
      </c>
      <c r="B66" s="64" t="n">
        <v>46277</v>
      </c>
      <c r="C66" s="63" t="inlineStr">
        <is>
          <t>Despesa</t>
        </is>
      </c>
      <c r="D66" s="63" t="inlineStr">
        <is>
          <t>Salão</t>
        </is>
      </c>
      <c r="E66" s="65" t="n">
        <v>120</v>
      </c>
      <c r="F66" s="63" t="inlineStr">
        <is>
          <t>Cuidados pessoais</t>
        </is>
      </c>
      <c r="G66" s="63" t="inlineStr">
        <is>
          <t>Conta corrente</t>
        </is>
      </c>
      <c r="H66" s="63" t="n"/>
      <c r="I66" s="63" t="n"/>
      <c r="J66" s="63" t="inlineStr">
        <is>
          <t>Pago</t>
        </is>
      </c>
      <c r="K66" s="63" t="n"/>
      <c r="L66" s="63" t="n"/>
      <c r="M66" s="63" t="n"/>
      <c r="N66" s="63" t="n"/>
      <c r="O66" s="63" t="n"/>
      <c r="P66" s="63" t="n"/>
      <c r="Q66" s="63" t="inlineStr">
        <is>
          <t>exemplo</t>
        </is>
      </c>
      <c r="R66" s="63" t="inlineStr">
        <is>
          <t>2026-10-17T12:00:00Z</t>
        </is>
      </c>
      <c r="S66" s="63" t="inlineStr">
        <is>
          <t>2026-10-17T12:00:00Z</t>
        </is>
      </c>
      <c r="T66" s="63" t="n"/>
      <c r="U66" s="63" t="n">
        <v>1</v>
      </c>
    </row>
    <row r="67">
      <c r="A67" s="63" t="inlineStr">
        <is>
          <t>adbafed0-b600-860c-7bdc-fd55304374b3</t>
        </is>
      </c>
      <c r="B67" s="64" t="n">
        <v>46277</v>
      </c>
      <c r="C67" s="63" t="inlineStr">
        <is>
          <t>Despesa</t>
        </is>
      </c>
      <c r="D67" s="63" t="inlineStr">
        <is>
          <t>Vestido</t>
        </is>
      </c>
      <c r="E67" s="65" t="n">
        <v>179.9</v>
      </c>
      <c r="F67" s="63" t="inlineStr">
        <is>
          <t>Vestuário</t>
        </is>
      </c>
      <c r="G67" s="63" t="inlineStr">
        <is>
          <t>Cartão de crédito</t>
        </is>
      </c>
      <c r="H67" s="63" t="n"/>
      <c r="I67" s="63" t="n"/>
      <c r="J67" s="63" t="inlineStr">
        <is>
          <t>Pago</t>
        </is>
      </c>
      <c r="K67" s="63" t="n"/>
      <c r="L67" s="63" t="n"/>
      <c r="M67" s="63" t="n"/>
      <c r="N67" s="63" t="n"/>
      <c r="O67" s="63" t="n"/>
      <c r="P67" s="64" t="n">
        <v>46293</v>
      </c>
      <c r="Q67" s="63" t="inlineStr">
        <is>
          <t>exemplo</t>
        </is>
      </c>
      <c r="R67" s="63" t="inlineStr">
        <is>
          <t>2026-10-17T12:00:00Z</t>
        </is>
      </c>
      <c r="S67" s="63" t="inlineStr">
        <is>
          <t>2026-10-17T12:00:00Z</t>
        </is>
      </c>
      <c r="T67" s="63" t="n"/>
      <c r="U67" s="63" t="n">
        <v>1</v>
      </c>
    </row>
    <row r="68">
      <c r="A68" s="63" t="inlineStr">
        <is>
          <t>a5721c6a-58d6-2944-d573-e7bb0d26efa0</t>
        </is>
      </c>
      <c r="B68" s="64" t="n">
        <v>46278</v>
      </c>
      <c r="C68" s="63" t="inlineStr">
        <is>
          <t>Despesa</t>
        </is>
      </c>
      <c r="D68" s="63" t="inlineStr">
        <is>
          <t>Delivery</t>
        </is>
      </c>
      <c r="E68" s="65" t="n">
        <v>74.5</v>
      </c>
      <c r="F68" s="63" t="inlineStr">
        <is>
          <t>Alimentação</t>
        </is>
      </c>
      <c r="G68" s="63" t="inlineStr">
        <is>
          <t>Cartão de crédito</t>
        </is>
      </c>
      <c r="H68" s="63" t="n"/>
      <c r="I68" s="63" t="n"/>
      <c r="J68" s="63" t="inlineStr">
        <is>
          <t>Pago</t>
        </is>
      </c>
      <c r="K68" s="63" t="n"/>
      <c r="L68" s="63" t="n"/>
      <c r="M68" s="63" t="n"/>
      <c r="N68" s="63" t="n"/>
      <c r="O68" s="63" t="n"/>
      <c r="P68" s="64" t="n">
        <v>46293</v>
      </c>
      <c r="Q68" s="63" t="inlineStr">
        <is>
          <t>exemplo</t>
        </is>
      </c>
      <c r="R68" s="63" t="inlineStr">
        <is>
          <t>2026-10-17T12:00:00Z</t>
        </is>
      </c>
      <c r="S68" s="63" t="inlineStr">
        <is>
          <t>2026-10-17T12:00:00Z</t>
        </is>
      </c>
      <c r="T68" s="63" t="n"/>
      <c r="U68" s="63" t="n">
        <v>1</v>
      </c>
    </row>
    <row r="69">
      <c r="A69" s="63" t="inlineStr">
        <is>
          <t>a40eecb5-c134-a79b-de3b-7dd373aa881e</t>
        </is>
      </c>
      <c r="B69" s="64" t="n">
        <v>46279</v>
      </c>
      <c r="C69" s="63" t="inlineStr">
        <is>
          <t>Despesa</t>
        </is>
      </c>
      <c r="D69" s="63" t="inlineStr">
        <is>
          <t>Cinema</t>
        </is>
      </c>
      <c r="E69" s="65" t="n">
        <v>68</v>
      </c>
      <c r="F69" s="63" t="inlineStr">
        <is>
          <t>Lazer</t>
        </is>
      </c>
      <c r="G69" s="63" t="inlineStr">
        <is>
          <t>Cartão de crédito</t>
        </is>
      </c>
      <c r="H69" s="63" t="n"/>
      <c r="I69" s="63" t="n"/>
      <c r="J69" s="63" t="inlineStr">
        <is>
          <t>Pago</t>
        </is>
      </c>
      <c r="K69" s="63" t="n"/>
      <c r="L69" s="63" t="n"/>
      <c r="M69" s="63" t="n"/>
      <c r="N69" s="63" t="n"/>
      <c r="O69" s="63" t="n"/>
      <c r="P69" s="64" t="n">
        <v>46293</v>
      </c>
      <c r="Q69" s="63" t="inlineStr">
        <is>
          <t>exemplo</t>
        </is>
      </c>
      <c r="R69" s="63" t="inlineStr">
        <is>
          <t>2026-10-17T12:00:00Z</t>
        </is>
      </c>
      <c r="S69" s="63" t="inlineStr">
        <is>
          <t>2026-10-17T12:00:00Z</t>
        </is>
      </c>
      <c r="T69" s="63" t="n"/>
      <c r="U69" s="63" t="n">
        <v>1</v>
      </c>
    </row>
    <row r="70">
      <c r="A70" s="63" t="inlineStr">
        <is>
          <t>96060250-ea3e-7f73-c84c-1884c88f63d6</t>
        </is>
      </c>
      <c r="B70" s="64" t="n">
        <v>46279</v>
      </c>
      <c r="C70" s="63" t="inlineStr">
        <is>
          <t>Despesa</t>
        </is>
      </c>
      <c r="D70" s="63" t="inlineStr">
        <is>
          <t>Padaria</t>
        </is>
      </c>
      <c r="E70" s="65" t="n">
        <v>42.3</v>
      </c>
      <c r="F70" s="63" t="inlineStr">
        <is>
          <t>Alimentação</t>
        </is>
      </c>
      <c r="G70" s="63" t="inlineStr">
        <is>
          <t>Conta corrente</t>
        </is>
      </c>
      <c r="H70" s="63" t="n"/>
      <c r="I70" s="63" t="n"/>
      <c r="J70" s="63" t="inlineStr">
        <is>
          <t>Pago</t>
        </is>
      </c>
      <c r="K70" s="63" t="n"/>
      <c r="L70" s="63" t="n"/>
      <c r="M70" s="63" t="n"/>
      <c r="N70" s="63" t="n"/>
      <c r="O70" s="63" t="n"/>
      <c r="P70" s="63" t="n"/>
      <c r="Q70" s="63" t="inlineStr">
        <is>
          <t>exemplo</t>
        </is>
      </c>
      <c r="R70" s="63" t="inlineStr">
        <is>
          <t>2026-10-17T12:00:00Z</t>
        </is>
      </c>
      <c r="S70" s="63" t="inlineStr">
        <is>
          <t>2026-10-17T12:00:00Z</t>
        </is>
      </c>
      <c r="T70" s="63" t="n"/>
      <c r="U70" s="63" t="n">
        <v>1</v>
      </c>
    </row>
    <row r="71">
      <c r="A71" s="63" t="inlineStr">
        <is>
          <t>0397a31d-ea9e-7ab5-730b-89dc2577c324</t>
        </is>
      </c>
      <c r="B71" s="64" t="n">
        <v>46280</v>
      </c>
      <c r="C71" s="63" t="inlineStr">
        <is>
          <t>Despesa</t>
        </is>
      </c>
      <c r="D71" s="63" t="inlineStr">
        <is>
          <t>Internet</t>
        </is>
      </c>
      <c r="E71" s="65" t="n">
        <v>119.9</v>
      </c>
      <c r="F71" s="63" t="inlineStr">
        <is>
          <t>Contas e serviços</t>
        </is>
      </c>
      <c r="G71" s="63" t="inlineStr">
        <is>
          <t>Conta corrente</t>
        </is>
      </c>
      <c r="H71" s="63" t="n"/>
      <c r="I71" s="63" t="n"/>
      <c r="J71" s="63" t="inlineStr">
        <is>
          <t>Pago</t>
        </is>
      </c>
      <c r="K71" s="63" t="n"/>
      <c r="L71" s="63" t="n"/>
      <c r="M71" s="63" t="n"/>
      <c r="N71" s="63" t="n"/>
      <c r="O71" s="63" t="n"/>
      <c r="P71" s="63" t="n"/>
      <c r="Q71" s="63" t="inlineStr">
        <is>
          <t>exemplo</t>
        </is>
      </c>
      <c r="R71" s="63" t="inlineStr">
        <is>
          <t>2026-10-17T12:00:00Z</t>
        </is>
      </c>
      <c r="S71" s="63" t="inlineStr">
        <is>
          <t>2026-10-17T12:00:00Z</t>
        </is>
      </c>
      <c r="T71" s="63" t="n"/>
      <c r="U71" s="63" t="n">
        <v>1</v>
      </c>
    </row>
    <row r="72">
      <c r="A72" s="63" t="inlineStr">
        <is>
          <t>f32efa03-ed1b-a5c8-c4ff-c64e93043fca</t>
        </is>
      </c>
      <c r="B72" s="64" t="n">
        <v>46281</v>
      </c>
      <c r="C72" s="63" t="inlineStr">
        <is>
          <t>Despesa</t>
        </is>
      </c>
      <c r="D72" s="63" t="inlineStr">
        <is>
          <t>Mercado</t>
        </is>
      </c>
      <c r="E72" s="65" t="n">
        <v>436.2</v>
      </c>
      <c r="F72" s="63" t="inlineStr">
        <is>
          <t>Mercado</t>
        </is>
      </c>
      <c r="G72" s="63" t="inlineStr">
        <is>
          <t>Cartão de crédito</t>
        </is>
      </c>
      <c r="H72" s="63" t="n"/>
      <c r="I72" s="63" t="n"/>
      <c r="J72" s="63" t="inlineStr">
        <is>
          <t>Pago</t>
        </is>
      </c>
      <c r="K72" s="63" t="n"/>
      <c r="L72" s="63" t="n"/>
      <c r="M72" s="63" t="n"/>
      <c r="N72" s="63" t="n"/>
      <c r="O72" s="63" t="n"/>
      <c r="P72" s="64" t="n">
        <v>46293</v>
      </c>
      <c r="Q72" s="63" t="inlineStr">
        <is>
          <t>exemplo</t>
        </is>
      </c>
      <c r="R72" s="63" t="inlineStr">
        <is>
          <t>2026-10-17T12:00:00Z</t>
        </is>
      </c>
      <c r="S72" s="63" t="inlineStr">
        <is>
          <t>2026-10-17T12:00:00Z</t>
        </is>
      </c>
      <c r="T72" s="63" t="n"/>
      <c r="U72" s="63" t="n">
        <v>1</v>
      </c>
    </row>
    <row r="73">
      <c r="A73" s="63" t="inlineStr">
        <is>
          <t>34fd02f6-8505-67c2-975c-ef7a27655f91</t>
        </is>
      </c>
      <c r="B73" s="64" t="n">
        <v>46282</v>
      </c>
      <c r="C73" s="63" t="inlineStr">
        <is>
          <t>Despesa</t>
        </is>
      </c>
      <c r="D73" s="63" t="inlineStr">
        <is>
          <t>Transporte por app</t>
        </is>
      </c>
      <c r="E73" s="65" t="n">
        <v>23.7</v>
      </c>
      <c r="F73" s="63" t="inlineStr">
        <is>
          <t>Transporte</t>
        </is>
      </c>
      <c r="G73" s="63" t="inlineStr">
        <is>
          <t>Cartão de crédito</t>
        </is>
      </c>
      <c r="H73" s="63" t="n"/>
      <c r="I73" s="63" t="n"/>
      <c r="J73" s="63" t="inlineStr">
        <is>
          <t>Pago</t>
        </is>
      </c>
      <c r="K73" s="63" t="n"/>
      <c r="L73" s="63" t="n"/>
      <c r="M73" s="63" t="n"/>
      <c r="N73" s="63" t="n"/>
      <c r="O73" s="63" t="n"/>
      <c r="P73" s="64" t="n">
        <v>46293</v>
      </c>
      <c r="Q73" s="63" t="inlineStr">
        <is>
          <t>exemplo</t>
        </is>
      </c>
      <c r="R73" s="63" t="inlineStr">
        <is>
          <t>2026-10-17T12:00:00Z</t>
        </is>
      </c>
      <c r="S73" s="63" t="inlineStr">
        <is>
          <t>2026-10-17T12:00:00Z</t>
        </is>
      </c>
      <c r="T73" s="63" t="n"/>
      <c r="U73" s="63" t="n">
        <v>1</v>
      </c>
    </row>
    <row r="74">
      <c r="A74" s="63" t="inlineStr">
        <is>
          <t>f79edc82-2edc-49c1-f71b-d135ec0643b1</t>
        </is>
      </c>
      <c r="B74" s="64" t="n">
        <v>46283</v>
      </c>
      <c r="C74" s="63" t="inlineStr">
        <is>
          <t>Receita</t>
        </is>
      </c>
      <c r="D74" s="63" t="inlineStr">
        <is>
          <t>Projeto freelance</t>
        </is>
      </c>
      <c r="E74" s="65" t="n">
        <v>900</v>
      </c>
      <c r="F74" s="63" t="inlineStr">
        <is>
          <t>Freelance</t>
        </is>
      </c>
      <c r="G74" s="63" t="inlineStr">
        <is>
          <t>Conta corrente</t>
        </is>
      </c>
      <c r="H74" s="63" t="n"/>
      <c r="I74" s="63" t="n"/>
      <c r="J74" s="63" t="inlineStr">
        <is>
          <t>Pago</t>
        </is>
      </c>
      <c r="K74" s="63" t="n"/>
      <c r="L74" s="63" t="n"/>
      <c r="M74" s="63" t="n"/>
      <c r="N74" s="63" t="n"/>
      <c r="O74" s="63" t="n"/>
      <c r="P74" s="63" t="n"/>
      <c r="Q74" s="63" t="inlineStr">
        <is>
          <t>exemplo</t>
        </is>
      </c>
      <c r="R74" s="63" t="inlineStr">
        <is>
          <t>2026-10-17T12:00:00Z</t>
        </is>
      </c>
      <c r="S74" s="63" t="inlineStr">
        <is>
          <t>2026-10-17T12:00:00Z</t>
        </is>
      </c>
      <c r="T74" s="63" t="n"/>
      <c r="U74" s="63" t="n">
        <v>1</v>
      </c>
    </row>
    <row r="75">
      <c r="A75" s="63" t="inlineStr">
        <is>
          <t>94a4d29c-7383-d496-000e-05d017985d06</t>
        </is>
      </c>
      <c r="B75" s="64" t="n">
        <v>46283</v>
      </c>
      <c r="C75" s="63" t="inlineStr">
        <is>
          <t>Despesa</t>
        </is>
      </c>
      <c r="D75" s="63" t="inlineStr">
        <is>
          <t>Água</t>
        </is>
      </c>
      <c r="E75" s="65" t="n">
        <v>88.3</v>
      </c>
      <c r="F75" s="63" t="inlineStr">
        <is>
          <t>Contas e serviços</t>
        </is>
      </c>
      <c r="G75" s="63" t="inlineStr">
        <is>
          <t>Conta corrente</t>
        </is>
      </c>
      <c r="H75" s="63" t="n"/>
      <c r="I75" s="63" t="n"/>
      <c r="J75" s="63" t="inlineStr">
        <is>
          <t>Pago</t>
        </is>
      </c>
      <c r="K75" s="63" t="n"/>
      <c r="L75" s="63" t="n"/>
      <c r="M75" s="63" t="n"/>
      <c r="N75" s="63" t="n"/>
      <c r="O75" s="63" t="n"/>
      <c r="P75" s="63" t="n"/>
      <c r="Q75" s="63" t="inlineStr">
        <is>
          <t>exemplo</t>
        </is>
      </c>
      <c r="R75" s="63" t="inlineStr">
        <is>
          <t>2026-10-17T12:00:00Z</t>
        </is>
      </c>
      <c r="S75" s="63" t="inlineStr">
        <is>
          <t>2026-10-17T12:00:00Z</t>
        </is>
      </c>
      <c r="T75" s="63" t="n"/>
      <c r="U75" s="63" t="n">
        <v>1</v>
      </c>
    </row>
    <row r="76">
      <c r="A76" s="63" t="inlineStr">
        <is>
          <t>ced8c284-63f1-bbbc-697b-65cb81f8c04a</t>
        </is>
      </c>
      <c r="B76" s="64" t="n">
        <v>46284</v>
      </c>
      <c r="C76" s="63" t="inlineStr">
        <is>
          <t>Despesa</t>
        </is>
      </c>
      <c r="D76" s="63" t="inlineStr">
        <is>
          <t>Padaria</t>
        </is>
      </c>
      <c r="E76" s="65" t="n">
        <v>27.6</v>
      </c>
      <c r="F76" s="63" t="inlineStr">
        <is>
          <t>Alimentação</t>
        </is>
      </c>
      <c r="G76" s="63" t="inlineStr">
        <is>
          <t>Carteira</t>
        </is>
      </c>
      <c r="H76" s="63" t="n"/>
      <c r="I76" s="63" t="n"/>
      <c r="J76" s="63" t="inlineStr">
        <is>
          <t>Pago</t>
        </is>
      </c>
      <c r="K76" s="63" t="n"/>
      <c r="L76" s="63" t="n"/>
      <c r="M76" s="63" t="n"/>
      <c r="N76" s="63" t="n"/>
      <c r="O76" s="63" t="n"/>
      <c r="P76" s="63" t="n"/>
      <c r="Q76" s="63" t="inlineStr">
        <is>
          <t>exemplo</t>
        </is>
      </c>
      <c r="R76" s="63" t="inlineStr">
        <is>
          <t>2026-10-17T12:00:00Z</t>
        </is>
      </c>
      <c r="S76" s="63" t="inlineStr">
        <is>
          <t>2026-10-17T12:00:00Z</t>
        </is>
      </c>
      <c r="T76" s="63" t="n"/>
      <c r="U76" s="63" t="n">
        <v>1</v>
      </c>
    </row>
    <row r="77">
      <c r="A77" s="63" t="inlineStr">
        <is>
          <t>320be3f8-08be-3b07-662f-286b8c1f6387</t>
        </is>
      </c>
      <c r="B77" s="64" t="n">
        <v>46285</v>
      </c>
      <c r="C77" s="63" t="inlineStr">
        <is>
          <t>Despesa</t>
        </is>
      </c>
      <c r="D77" s="63" t="inlineStr">
        <is>
          <t>Combustível</t>
        </is>
      </c>
      <c r="E77" s="65" t="n">
        <v>231.5</v>
      </c>
      <c r="F77" s="63" t="inlineStr">
        <is>
          <t>Transporte</t>
        </is>
      </c>
      <c r="G77" s="63" t="inlineStr">
        <is>
          <t>Conta corrente</t>
        </is>
      </c>
      <c r="H77" s="63" t="n"/>
      <c r="I77" s="63" t="n"/>
      <c r="J77" s="63" t="inlineStr">
        <is>
          <t>Pago</t>
        </is>
      </c>
      <c r="K77" s="63" t="n"/>
      <c r="L77" s="63" t="n"/>
      <c r="M77" s="63" t="n"/>
      <c r="N77" s="63" t="n"/>
      <c r="O77" s="63" t="n"/>
      <c r="P77" s="63" t="n"/>
      <c r="Q77" s="63" t="inlineStr">
        <is>
          <t>exemplo</t>
        </is>
      </c>
      <c r="R77" s="63" t="inlineStr">
        <is>
          <t>2026-10-17T12:00:00Z</t>
        </is>
      </c>
      <c r="S77" s="63" t="inlineStr">
        <is>
          <t>2026-10-17T12:00:00Z</t>
        </is>
      </c>
      <c r="T77" s="63" t="n"/>
      <c r="U77" s="63" t="n">
        <v>1</v>
      </c>
    </row>
    <row r="78">
      <c r="A78" s="63" t="inlineStr">
        <is>
          <t>2341bbbe-f4e2-ea68-e505-88a5845074a1</t>
        </is>
      </c>
      <c r="B78" s="64" t="n">
        <v>46286</v>
      </c>
      <c r="C78" s="63" t="inlineStr">
        <is>
          <t>Despesa</t>
        </is>
      </c>
      <c r="D78" s="63" t="inlineStr">
        <is>
          <t>Presente de aniversário</t>
        </is>
      </c>
      <c r="E78" s="65" t="n">
        <v>140</v>
      </c>
      <c r="F78" s="63" t="inlineStr">
        <is>
          <t>Outros</t>
        </is>
      </c>
      <c r="G78" s="63" t="inlineStr">
        <is>
          <t>Conta corrente</t>
        </is>
      </c>
      <c r="H78" s="63" t="n"/>
      <c r="I78" s="63" t="n"/>
      <c r="J78" s="63" t="inlineStr">
        <is>
          <t>Pago</t>
        </is>
      </c>
      <c r="K78" s="63" t="n"/>
      <c r="L78" s="63" t="n"/>
      <c r="M78" s="63" t="n"/>
      <c r="N78" s="63" t="n"/>
      <c r="O78" s="63" t="n"/>
      <c r="P78" s="63" t="n"/>
      <c r="Q78" s="63" t="inlineStr">
        <is>
          <t>exemplo</t>
        </is>
      </c>
      <c r="R78" s="63" t="inlineStr">
        <is>
          <t>2026-10-17T12:00:00Z</t>
        </is>
      </c>
      <c r="S78" s="63" t="inlineStr">
        <is>
          <t>2026-10-17T12:00:00Z</t>
        </is>
      </c>
      <c r="T78" s="63" t="n"/>
      <c r="U78" s="63" t="n">
        <v>1</v>
      </c>
    </row>
    <row r="79">
      <c r="A79" s="63" t="inlineStr">
        <is>
          <t>069a306f-f1f0-2f49-c500-29abef3e4144</t>
        </is>
      </c>
      <c r="B79" s="64" t="n">
        <v>46286</v>
      </c>
      <c r="C79" s="63" t="inlineStr">
        <is>
          <t>Despesa</t>
        </is>
      </c>
      <c r="D79" s="63" t="inlineStr">
        <is>
          <t>Restaurante</t>
        </is>
      </c>
      <c r="E79" s="65" t="n">
        <v>128</v>
      </c>
      <c r="F79" s="63" t="inlineStr">
        <is>
          <t>Alimentação</t>
        </is>
      </c>
      <c r="G79" s="63" t="inlineStr">
        <is>
          <t>Cartão de crédito</t>
        </is>
      </c>
      <c r="H79" s="63" t="n"/>
      <c r="I79" s="63" t="n"/>
      <c r="J79" s="63" t="inlineStr">
        <is>
          <t>Pendente</t>
        </is>
      </c>
      <c r="K79" s="63" t="n"/>
      <c r="L79" s="63" t="n"/>
      <c r="M79" s="63" t="n"/>
      <c r="N79" s="63" t="n"/>
      <c r="O79" s="63" t="n"/>
      <c r="P79" s="64" t="n">
        <v>46323</v>
      </c>
      <c r="Q79" s="63" t="inlineStr">
        <is>
          <t>exemplo</t>
        </is>
      </c>
      <c r="R79" s="63" t="inlineStr">
        <is>
          <t>2026-10-17T12:00:00Z</t>
        </is>
      </c>
      <c r="S79" s="63" t="inlineStr">
        <is>
          <t>2026-10-17T12:00:00Z</t>
        </is>
      </c>
      <c r="T79" s="63" t="n"/>
      <c r="U79" s="63" t="n">
        <v>1</v>
      </c>
    </row>
    <row r="80">
      <c r="A80" s="63" t="inlineStr">
        <is>
          <t>b870e4e1-b093-e3b4-7df2-fc58dc56dc87</t>
        </is>
      </c>
      <c r="B80" s="64" t="n">
        <v>46288</v>
      </c>
      <c r="C80" s="63" t="inlineStr">
        <is>
          <t>Despesa</t>
        </is>
      </c>
      <c r="D80" s="63" t="inlineStr">
        <is>
          <t>Mercado</t>
        </is>
      </c>
      <c r="E80" s="65" t="n">
        <v>471.9</v>
      </c>
      <c r="F80" s="63" t="inlineStr">
        <is>
          <t>Mercado</t>
        </is>
      </c>
      <c r="G80" s="63" t="inlineStr">
        <is>
          <t>Cartão de crédito</t>
        </is>
      </c>
      <c r="H80" s="63" t="n"/>
      <c r="I80" s="63" t="n"/>
      <c r="J80" s="63" t="inlineStr">
        <is>
          <t>Pendente</t>
        </is>
      </c>
      <c r="K80" s="63" t="n"/>
      <c r="L80" s="63" t="n"/>
      <c r="M80" s="63" t="n"/>
      <c r="N80" s="63" t="n"/>
      <c r="O80" s="63" t="n"/>
      <c r="P80" s="64" t="n">
        <v>46323</v>
      </c>
      <c r="Q80" s="63" t="inlineStr">
        <is>
          <t>exemplo</t>
        </is>
      </c>
      <c r="R80" s="63" t="inlineStr">
        <is>
          <t>2026-10-17T12:00:00Z</t>
        </is>
      </c>
      <c r="S80" s="63" t="inlineStr">
        <is>
          <t>2026-10-17T12:00:00Z</t>
        </is>
      </c>
      <c r="T80" s="63" t="n"/>
      <c r="U80" s="63" t="n">
        <v>1</v>
      </c>
    </row>
    <row r="81">
      <c r="A81" s="63" t="inlineStr">
        <is>
          <t>d6c769cb-ee53-2f03-8b75-d02aa5f27419</t>
        </is>
      </c>
      <c r="B81" s="64" t="n">
        <v>46289</v>
      </c>
      <c r="C81" s="63" t="inlineStr">
        <is>
          <t>Despesa</t>
        </is>
      </c>
      <c r="D81" s="63" t="inlineStr">
        <is>
          <t>Farmácia</t>
        </is>
      </c>
      <c r="E81" s="65" t="n">
        <v>63.2</v>
      </c>
      <c r="F81" s="63" t="inlineStr">
        <is>
          <t>Saúde</t>
        </is>
      </c>
      <c r="G81" s="63" t="inlineStr">
        <is>
          <t>Conta corrente</t>
        </is>
      </c>
      <c r="H81" s="63" t="n"/>
      <c r="I81" s="63" t="n"/>
      <c r="J81" s="63" t="inlineStr">
        <is>
          <t>Pago</t>
        </is>
      </c>
      <c r="K81" s="63" t="n"/>
      <c r="L81" s="63" t="n"/>
      <c r="M81" s="63" t="n"/>
      <c r="N81" s="63" t="n"/>
      <c r="O81" s="63" t="n"/>
      <c r="P81" s="63" t="n"/>
      <c r="Q81" s="63" t="inlineStr">
        <is>
          <t>exemplo</t>
        </is>
      </c>
      <c r="R81" s="63" t="inlineStr">
        <is>
          <t>2026-10-17T12:00:00Z</t>
        </is>
      </c>
      <c r="S81" s="63" t="inlineStr">
        <is>
          <t>2026-10-17T12:00:00Z</t>
        </is>
      </c>
      <c r="T81" s="63" t="n"/>
      <c r="U81" s="63" t="n">
        <v>1</v>
      </c>
    </row>
    <row r="82">
      <c r="A82" s="63" t="inlineStr">
        <is>
          <t>6041f10e-325a-bdec-ce91-82088520bf0c</t>
        </is>
      </c>
      <c r="B82" s="64" t="n">
        <v>46290</v>
      </c>
      <c r="C82" s="63" t="inlineStr">
        <is>
          <t>Despesa</t>
        </is>
      </c>
      <c r="D82" s="63" t="inlineStr">
        <is>
          <t>Padaria</t>
        </is>
      </c>
      <c r="E82" s="65" t="n">
        <v>35.4</v>
      </c>
      <c r="F82" s="63" t="inlineStr">
        <is>
          <t>Alimentação</t>
        </is>
      </c>
      <c r="G82" s="63" t="inlineStr">
        <is>
          <t>Carteira</t>
        </is>
      </c>
      <c r="H82" s="63" t="n"/>
      <c r="I82" s="63" t="n"/>
      <c r="J82" s="63" t="inlineStr">
        <is>
          <t>Pago</t>
        </is>
      </c>
      <c r="K82" s="63" t="n"/>
      <c r="L82" s="63" t="n"/>
      <c r="M82" s="63" t="n"/>
      <c r="N82" s="63" t="n"/>
      <c r="O82" s="63" t="n"/>
      <c r="P82" s="63" t="n"/>
      <c r="Q82" s="63" t="inlineStr">
        <is>
          <t>exemplo</t>
        </is>
      </c>
      <c r="R82" s="63" t="inlineStr">
        <is>
          <t>2026-10-17T12:00:00Z</t>
        </is>
      </c>
      <c r="S82" s="63" t="inlineStr">
        <is>
          <t>2026-10-17T12:00:00Z</t>
        </is>
      </c>
      <c r="T82" s="63" t="n"/>
      <c r="U82" s="63" t="n">
        <v>1</v>
      </c>
    </row>
    <row r="83">
      <c r="A83" s="63" t="inlineStr">
        <is>
          <t>9924eb8b-7575-0c2b-561f-8bfe9f93693f</t>
        </is>
      </c>
      <c r="B83" s="64" t="n">
        <v>46291</v>
      </c>
      <c r="C83" s="63" t="inlineStr">
        <is>
          <t>Despesa</t>
        </is>
      </c>
      <c r="D83" s="63" t="inlineStr">
        <is>
          <t>Transporte por app</t>
        </is>
      </c>
      <c r="E83" s="65" t="n">
        <v>36.2</v>
      </c>
      <c r="F83" s="63" t="inlineStr">
        <is>
          <t>Transporte</t>
        </is>
      </c>
      <c r="G83" s="63" t="inlineStr">
        <is>
          <t>Cartão de crédito</t>
        </is>
      </c>
      <c r="H83" s="63" t="n"/>
      <c r="I83" s="63" t="n"/>
      <c r="J83" s="63" t="inlineStr">
        <is>
          <t>Pendente</t>
        </is>
      </c>
      <c r="K83" s="63" t="n"/>
      <c r="L83" s="63" t="n"/>
      <c r="M83" s="63" t="n"/>
      <c r="N83" s="63" t="n"/>
      <c r="O83" s="63" t="n"/>
      <c r="P83" s="64" t="n">
        <v>46323</v>
      </c>
      <c r="Q83" s="63" t="inlineStr">
        <is>
          <t>exemplo</t>
        </is>
      </c>
      <c r="R83" s="63" t="inlineStr">
        <is>
          <t>2026-10-17T12:00:00Z</t>
        </is>
      </c>
      <c r="S83" s="63" t="inlineStr">
        <is>
          <t>2026-10-17T12:00:00Z</t>
        </is>
      </c>
      <c r="T83" s="63" t="n"/>
      <c r="U83" s="63" t="n">
        <v>1</v>
      </c>
    </row>
    <row r="84">
      <c r="A84" s="63" t="inlineStr">
        <is>
          <t>aecb9e68-53e8-1536-79dc-bc8182a8c712</t>
        </is>
      </c>
      <c r="B84" s="64" t="n">
        <v>46292</v>
      </c>
      <c r="C84" s="63" t="inlineStr">
        <is>
          <t>Despesa</t>
        </is>
      </c>
      <c r="D84" s="63" t="inlineStr">
        <is>
          <t>Delivery</t>
        </is>
      </c>
      <c r="E84" s="65" t="n">
        <v>62.9</v>
      </c>
      <c r="F84" s="63" t="inlineStr">
        <is>
          <t>Alimentação</t>
        </is>
      </c>
      <c r="G84" s="63" t="inlineStr">
        <is>
          <t>Cartão de crédito</t>
        </is>
      </c>
      <c r="H84" s="63" t="n"/>
      <c r="I84" s="63" t="n"/>
      <c r="J84" s="63" t="inlineStr">
        <is>
          <t>Pendente</t>
        </is>
      </c>
      <c r="K84" s="63" t="n"/>
      <c r="L84" s="63" t="n"/>
      <c r="M84" s="63" t="n"/>
      <c r="N84" s="63" t="n"/>
      <c r="O84" s="63" t="n"/>
      <c r="P84" s="64" t="n">
        <v>46323</v>
      </c>
      <c r="Q84" s="63" t="inlineStr">
        <is>
          <t>exemplo</t>
        </is>
      </c>
      <c r="R84" s="63" t="inlineStr">
        <is>
          <t>2026-10-17T12:00:00Z</t>
        </is>
      </c>
      <c r="S84" s="63" t="inlineStr">
        <is>
          <t>2026-10-17T12:00:00Z</t>
        </is>
      </c>
      <c r="T84" s="63" t="n"/>
      <c r="U84" s="63" t="n">
        <v>1</v>
      </c>
    </row>
    <row r="85">
      <c r="A85" s="63" t="inlineStr">
        <is>
          <t>060ecc8a-e0df-f709-6fce-4808b7158e9c</t>
        </is>
      </c>
      <c r="B85" s="64" t="n">
        <v>46293</v>
      </c>
      <c r="C85" s="63" t="inlineStr">
        <is>
          <t>Transferência</t>
        </is>
      </c>
      <c r="D85" s="63" t="inlineStr">
        <is>
          <t>Pagamento da fatura</t>
        </is>
      </c>
      <c r="E85" s="65" t="n">
        <v>2716.65</v>
      </c>
      <c r="F85" s="63" t="n"/>
      <c r="G85" s="63" t="inlineStr">
        <is>
          <t>Conta corrente</t>
        </is>
      </c>
      <c r="H85" s="63" t="inlineStr">
        <is>
          <t>Cartão de crédito</t>
        </is>
      </c>
      <c r="I85" s="63" t="n"/>
      <c r="J85" s="63" t="inlineStr">
        <is>
          <t>Pago</t>
        </is>
      </c>
      <c r="K85" s="63" t="n"/>
      <c r="L85" s="63" t="n"/>
      <c r="M85" s="63" t="n"/>
      <c r="N85" s="63" t="n"/>
      <c r="O85" s="63" t="n"/>
      <c r="P85" s="63" t="n"/>
      <c r="Q85" s="63" t="inlineStr">
        <is>
          <t>exemplo</t>
        </is>
      </c>
      <c r="R85" s="63" t="inlineStr">
        <is>
          <t>2026-10-17T12:00:00Z</t>
        </is>
      </c>
      <c r="S85" s="63" t="inlineStr">
        <is>
          <t>2026-10-17T12:00:00Z</t>
        </is>
      </c>
      <c r="T85" s="63" t="n"/>
      <c r="U85" s="63" t="n">
        <v>1</v>
      </c>
    </row>
    <row r="86">
      <c r="A86" s="63" t="inlineStr">
        <is>
          <t>7aa95416-ba5c-875c-d7aa-22086cffb0f0</t>
        </is>
      </c>
      <c r="B86" s="64" t="n">
        <v>46295</v>
      </c>
      <c r="C86" s="63" t="inlineStr">
        <is>
          <t>Receita</t>
        </is>
      </c>
      <c r="D86" s="63" t="inlineStr">
        <is>
          <t>Rendimentos poupança</t>
        </is>
      </c>
      <c r="E86" s="65" t="n">
        <v>85</v>
      </c>
      <c r="F86" s="63" t="inlineStr">
        <is>
          <t>Rendimentos</t>
        </is>
      </c>
      <c r="G86" s="63" t="inlineStr">
        <is>
          <t>Poupança</t>
        </is>
      </c>
      <c r="H86" s="63" t="n"/>
      <c r="I86" s="63" t="n"/>
      <c r="J86" s="63" t="inlineStr">
        <is>
          <t>Pago</t>
        </is>
      </c>
      <c r="K86" s="63" t="n"/>
      <c r="L86" s="63" t="n"/>
      <c r="M86" s="63" t="n"/>
      <c r="N86" s="63" t="n"/>
      <c r="O86" s="63" t="n"/>
      <c r="P86" s="63" t="n"/>
      <c r="Q86" s="63" t="inlineStr">
        <is>
          <t>exemplo</t>
        </is>
      </c>
      <c r="R86" s="63" t="inlineStr">
        <is>
          <t>2026-10-17T12:00:00Z</t>
        </is>
      </c>
      <c r="S86" s="63" t="inlineStr">
        <is>
          <t>2026-10-17T12:00:00Z</t>
        </is>
      </c>
      <c r="T86" s="63" t="n"/>
      <c r="U86" s="63" t="n">
        <v>1</v>
      </c>
    </row>
    <row r="87">
      <c r="A87" s="63" t="inlineStr">
        <is>
          <t>50e98d6d-6779-082c-ecbc-053409bb1454</t>
        </is>
      </c>
      <c r="B87" s="64" t="n">
        <v>46296</v>
      </c>
      <c r="C87" s="63" t="inlineStr">
        <is>
          <t>Despesa</t>
        </is>
      </c>
      <c r="D87" s="63" t="inlineStr">
        <is>
          <t>Curso de idiomas</t>
        </is>
      </c>
      <c r="E87" s="65" t="n">
        <v>189</v>
      </c>
      <c r="F87" s="63" t="inlineStr">
        <is>
          <t>Educação</t>
        </is>
      </c>
      <c r="G87" s="63" t="inlineStr">
        <is>
          <t>Conta corrente</t>
        </is>
      </c>
      <c r="H87" s="63" t="n"/>
      <c r="I87" s="63" t="n"/>
      <c r="J87" s="63" t="inlineStr">
        <is>
          <t>Pago</t>
        </is>
      </c>
      <c r="K87" s="63" t="n"/>
      <c r="L87" s="63" t="n"/>
      <c r="M87" s="63" t="n"/>
      <c r="N87" s="63" t="n"/>
      <c r="O87" s="63" t="n"/>
      <c r="P87" s="63" t="n"/>
      <c r="Q87" s="63" t="inlineStr">
        <is>
          <t>exemplo</t>
        </is>
      </c>
      <c r="R87" s="63" t="inlineStr">
        <is>
          <t>2026-10-17T12:00:00Z</t>
        </is>
      </c>
      <c r="S87" s="63" t="inlineStr">
        <is>
          <t>2026-10-17T12:00:00Z</t>
        </is>
      </c>
      <c r="T87" s="63" t="n"/>
      <c r="U87" s="63" t="n">
        <v>1</v>
      </c>
    </row>
    <row r="88">
      <c r="A88" s="63" t="inlineStr">
        <is>
          <t>2eb52387-ab9f-4430-d8ae-93fbd978673a</t>
        </is>
      </c>
      <c r="B88" s="64" t="n">
        <v>46297</v>
      </c>
      <c r="C88" s="63" t="inlineStr">
        <is>
          <t>Despesa</t>
        </is>
      </c>
      <c r="D88" s="63" t="inlineStr">
        <is>
          <t>Mercado</t>
        </is>
      </c>
      <c r="E88" s="65" t="n">
        <v>412.8</v>
      </c>
      <c r="F88" s="63" t="inlineStr">
        <is>
          <t>Mercado</t>
        </is>
      </c>
      <c r="G88" s="63" t="inlineStr">
        <is>
          <t>Cartão de crédito</t>
        </is>
      </c>
      <c r="H88" s="63" t="n"/>
      <c r="I88" s="63" t="n"/>
      <c r="J88" s="63" t="inlineStr">
        <is>
          <t>Pendente</t>
        </is>
      </c>
      <c r="K88" s="63" t="n"/>
      <c r="L88" s="63" t="n"/>
      <c r="M88" s="63" t="n"/>
      <c r="N88" s="63" t="n"/>
      <c r="O88" s="63" t="n"/>
      <c r="P88" s="64" t="n">
        <v>46323</v>
      </c>
      <c r="Q88" s="63" t="inlineStr">
        <is>
          <t>exemplo</t>
        </is>
      </c>
      <c r="R88" s="63" t="inlineStr">
        <is>
          <t>2026-10-17T12:00:00Z</t>
        </is>
      </c>
      <c r="S88" s="63" t="inlineStr">
        <is>
          <t>2026-10-17T12:00:00Z</t>
        </is>
      </c>
      <c r="T88" s="63" t="n"/>
      <c r="U88" s="63" t="n">
        <v>1</v>
      </c>
    </row>
    <row r="89">
      <c r="A89" s="63" t="inlineStr">
        <is>
          <t>47cd07f7-b74c-990a-9eeb-ba4e1c14df92</t>
        </is>
      </c>
      <c r="B89" s="64" t="n">
        <v>46298</v>
      </c>
      <c r="C89" s="63" t="inlineStr">
        <is>
          <t>Despesa</t>
        </is>
      </c>
      <c r="D89" s="63" t="inlineStr">
        <is>
          <t>Padaria</t>
        </is>
      </c>
      <c r="E89" s="65" t="n">
        <v>24.5</v>
      </c>
      <c r="F89" s="63" t="inlineStr">
        <is>
          <t>Alimentação</t>
        </is>
      </c>
      <c r="G89" s="63" t="inlineStr">
        <is>
          <t>Carteira</t>
        </is>
      </c>
      <c r="H89" s="63" t="n"/>
      <c r="I89" s="63" t="n"/>
      <c r="J89" s="63" t="inlineStr">
        <is>
          <t>Pago</t>
        </is>
      </c>
      <c r="K89" s="63" t="n"/>
      <c r="L89" s="63" t="n"/>
      <c r="M89" s="63" t="n"/>
      <c r="N89" s="63" t="n"/>
      <c r="O89" s="63" t="n"/>
      <c r="P89" s="63" t="n"/>
      <c r="Q89" s="63" t="inlineStr">
        <is>
          <t>exemplo</t>
        </is>
      </c>
      <c r="R89" s="63" t="inlineStr">
        <is>
          <t>2026-10-17T12:00:00Z</t>
        </is>
      </c>
      <c r="S89" s="63" t="inlineStr">
        <is>
          <t>2026-10-17T12:00:00Z</t>
        </is>
      </c>
      <c r="T89" s="63" t="n"/>
      <c r="U89" s="63" t="n">
        <v>1</v>
      </c>
    </row>
    <row r="90">
      <c r="A90" s="63" t="inlineStr">
        <is>
          <t>5497db67-a54b-3b83-7440-cabee0ed4a62</t>
        </is>
      </c>
      <c r="B90" s="64" t="n">
        <v>46298</v>
      </c>
      <c r="C90" s="63" t="inlineStr">
        <is>
          <t>Despesa</t>
        </is>
      </c>
      <c r="D90" s="63" t="inlineStr">
        <is>
          <t>Streaming de vídeo</t>
        </is>
      </c>
      <c r="E90" s="65" t="n">
        <v>55.9</v>
      </c>
      <c r="F90" s="63" t="inlineStr">
        <is>
          <t>Assinaturas</t>
        </is>
      </c>
      <c r="G90" s="63" t="inlineStr">
        <is>
          <t>Cartão de crédito</t>
        </is>
      </c>
      <c r="H90" s="63" t="n"/>
      <c r="I90" s="63" t="n"/>
      <c r="J90" s="63" t="inlineStr">
        <is>
          <t>Pendente</t>
        </is>
      </c>
      <c r="K90" s="63" t="n"/>
      <c r="L90" s="63" t="n"/>
      <c r="M90" s="63" t="n"/>
      <c r="N90" s="63" t="n"/>
      <c r="O90" s="63" t="n"/>
      <c r="P90" s="64" t="n">
        <v>46323</v>
      </c>
      <c r="Q90" s="63" t="inlineStr">
        <is>
          <t>exemplo</t>
        </is>
      </c>
      <c r="R90" s="63" t="inlineStr">
        <is>
          <t>2026-10-17T12:00:00Z</t>
        </is>
      </c>
      <c r="S90" s="63" t="inlineStr">
        <is>
          <t>2026-10-17T12:00:00Z</t>
        </is>
      </c>
      <c r="T90" s="63" t="n"/>
      <c r="U90" s="63" t="n">
        <v>1</v>
      </c>
    </row>
    <row r="91">
      <c r="A91" s="63" t="inlineStr">
        <is>
          <t>d563d56d-c887-417c-8b89-0fec6872d96b</t>
        </is>
      </c>
      <c r="B91" s="64" t="n">
        <v>46299</v>
      </c>
      <c r="C91" s="63" t="inlineStr">
        <is>
          <t>Despesa</t>
        </is>
      </c>
      <c r="D91" s="63" t="inlineStr">
        <is>
          <t>Streaming de música</t>
        </is>
      </c>
      <c r="E91" s="65" t="n">
        <v>21.9</v>
      </c>
      <c r="F91" s="63" t="inlineStr">
        <is>
          <t>Assinaturas</t>
        </is>
      </c>
      <c r="G91" s="63" t="inlineStr">
        <is>
          <t>Cartão de crédito</t>
        </is>
      </c>
      <c r="H91" s="63" t="n"/>
      <c r="I91" s="63" t="n"/>
      <c r="J91" s="63" t="inlineStr">
        <is>
          <t>Pendente</t>
        </is>
      </c>
      <c r="K91" s="63" t="n"/>
      <c r="L91" s="63" t="n"/>
      <c r="M91" s="63" t="n"/>
      <c r="N91" s="63" t="n"/>
      <c r="O91" s="63" t="n"/>
      <c r="P91" s="64" t="n">
        <v>46323</v>
      </c>
      <c r="Q91" s="63" t="inlineStr">
        <is>
          <t>exemplo</t>
        </is>
      </c>
      <c r="R91" s="63" t="inlineStr">
        <is>
          <t>2026-10-17T12:00:00Z</t>
        </is>
      </c>
      <c r="S91" s="63" t="inlineStr">
        <is>
          <t>2026-10-17T12:00:00Z</t>
        </is>
      </c>
      <c r="T91" s="63" t="n"/>
      <c r="U91" s="63" t="n">
        <v>1</v>
      </c>
    </row>
    <row r="92">
      <c r="A92" s="63" t="inlineStr">
        <is>
          <t>2950e9ae-5089-be3b-ee8b-9e7c4a815857</t>
        </is>
      </c>
      <c r="B92" s="64" t="n">
        <v>46299</v>
      </c>
      <c r="C92" s="63" t="inlineStr">
        <is>
          <t>Despesa</t>
        </is>
      </c>
      <c r="D92" s="63" t="inlineStr">
        <is>
          <t>Transporte por app</t>
        </is>
      </c>
      <c r="E92" s="65" t="n">
        <v>28.4</v>
      </c>
      <c r="F92" s="63" t="inlineStr">
        <is>
          <t>Transporte</t>
        </is>
      </c>
      <c r="G92" s="63" t="inlineStr">
        <is>
          <t>Cartão de crédito</t>
        </is>
      </c>
      <c r="H92" s="63" t="n"/>
      <c r="I92" s="63" t="n"/>
      <c r="J92" s="63" t="inlineStr">
        <is>
          <t>Pendente</t>
        </is>
      </c>
      <c r="K92" s="63" t="n"/>
      <c r="L92" s="63" t="n"/>
      <c r="M92" s="63" t="n"/>
      <c r="N92" s="63" t="n"/>
      <c r="O92" s="63" t="n"/>
      <c r="P92" s="64" t="n">
        <v>46323</v>
      </c>
      <c r="Q92" s="63" t="inlineStr">
        <is>
          <t>exemplo</t>
        </is>
      </c>
      <c r="R92" s="63" t="inlineStr">
        <is>
          <t>2026-10-17T12:00:00Z</t>
        </is>
      </c>
      <c r="S92" s="63" t="inlineStr">
        <is>
          <t>2026-10-17T12:00:00Z</t>
        </is>
      </c>
      <c r="T92" s="63" t="n"/>
      <c r="U92" s="63" t="n">
        <v>1</v>
      </c>
    </row>
    <row r="93">
      <c r="A93" s="63" t="inlineStr">
        <is>
          <t>ffce6973-7f62-df26-76c3-266043710baf</t>
        </is>
      </c>
      <c r="B93" s="64" t="n">
        <v>46300</v>
      </c>
      <c r="C93" s="63" t="inlineStr">
        <is>
          <t>Despesa</t>
        </is>
      </c>
      <c r="D93" s="63" t="inlineStr">
        <is>
          <t>Aluguel</t>
        </is>
      </c>
      <c r="E93" s="65" t="n">
        <v>2100</v>
      </c>
      <c r="F93" s="63" t="inlineStr">
        <is>
          <t>Moradia</t>
        </is>
      </c>
      <c r="G93" s="63" t="inlineStr">
        <is>
          <t>Conta corrente</t>
        </is>
      </c>
      <c r="H93" s="63" t="n"/>
      <c r="I93" s="63" t="n"/>
      <c r="J93" s="63" t="inlineStr">
        <is>
          <t>Pago</t>
        </is>
      </c>
      <c r="K93" s="63" t="n"/>
      <c r="L93" s="63" t="n"/>
      <c r="M93" s="63" t="n"/>
      <c r="N93" s="63" t="n"/>
      <c r="O93" s="63" t="n"/>
      <c r="P93" s="63" t="n"/>
      <c r="Q93" s="63" t="inlineStr">
        <is>
          <t>exemplo</t>
        </is>
      </c>
      <c r="R93" s="63" t="inlineStr">
        <is>
          <t>2026-10-17T12:00:00Z</t>
        </is>
      </c>
      <c r="S93" s="63" t="inlineStr">
        <is>
          <t>2026-10-17T12:00:00Z</t>
        </is>
      </c>
      <c r="T93" s="63" t="n"/>
      <c r="U93" s="63" t="n">
        <v>1</v>
      </c>
    </row>
    <row r="94">
      <c r="A94" s="63" t="inlineStr">
        <is>
          <t>62186f4b-1422-fbef-de38-42616a01977b</t>
        </is>
      </c>
      <c r="B94" s="64" t="n">
        <v>46300</v>
      </c>
      <c r="C94" s="63" t="inlineStr">
        <is>
          <t>Receita</t>
        </is>
      </c>
      <c r="D94" s="63" t="inlineStr">
        <is>
          <t>Salário</t>
        </is>
      </c>
      <c r="E94" s="65" t="n">
        <v>6200</v>
      </c>
      <c r="F94" s="63" t="inlineStr">
        <is>
          <t>Salário</t>
        </is>
      </c>
      <c r="G94" s="63" t="inlineStr">
        <is>
          <t>Conta corrente</t>
        </is>
      </c>
      <c r="H94" s="63" t="n"/>
      <c r="I94" s="63" t="n"/>
      <c r="J94" s="63" t="inlineStr">
        <is>
          <t>Pago</t>
        </is>
      </c>
      <c r="K94" s="63" t="n"/>
      <c r="L94" s="63" t="n"/>
      <c r="M94" s="63" t="n"/>
      <c r="N94" s="63" t="n"/>
      <c r="O94" s="63" t="n"/>
      <c r="P94" s="63" t="n"/>
      <c r="Q94" s="63" t="inlineStr">
        <is>
          <t>exemplo</t>
        </is>
      </c>
      <c r="R94" s="63" t="inlineStr">
        <is>
          <t>2026-10-17T12:00:00Z</t>
        </is>
      </c>
      <c r="S94" s="63" t="inlineStr">
        <is>
          <t>2026-10-17T12:00:00Z</t>
        </is>
      </c>
      <c r="T94" s="63" t="n"/>
      <c r="U94" s="63" t="n">
        <v>1</v>
      </c>
    </row>
    <row r="95">
      <c r="A95" s="63" t="inlineStr">
        <is>
          <t>4f56d48f-05e1-ddfb-3c37-bb0118b0f10e</t>
        </is>
      </c>
      <c r="B95" s="64" t="n">
        <v>46301</v>
      </c>
      <c r="C95" s="63" t="inlineStr">
        <is>
          <t>Despesa</t>
        </is>
      </c>
      <c r="D95" s="63" t="inlineStr">
        <is>
          <t>Combustível</t>
        </is>
      </c>
      <c r="E95" s="65" t="n">
        <v>224</v>
      </c>
      <c r="F95" s="63" t="inlineStr">
        <is>
          <t>Transporte</t>
        </is>
      </c>
      <c r="G95" s="63" t="inlineStr">
        <is>
          <t>Conta corrente</t>
        </is>
      </c>
      <c r="H95" s="63" t="n"/>
      <c r="I95" s="63" t="n"/>
      <c r="J95" s="63" t="inlineStr">
        <is>
          <t>Pago</t>
        </is>
      </c>
      <c r="K95" s="63" t="n"/>
      <c r="L95" s="63" t="n"/>
      <c r="M95" s="63" t="n"/>
      <c r="N95" s="63" t="n"/>
      <c r="O95" s="63" t="n"/>
      <c r="P95" s="63" t="n"/>
      <c r="Q95" s="63" t="inlineStr">
        <is>
          <t>exemplo</t>
        </is>
      </c>
      <c r="R95" s="63" t="inlineStr">
        <is>
          <t>2026-10-17T12:00:00Z</t>
        </is>
      </c>
      <c r="S95" s="63" t="inlineStr">
        <is>
          <t>2026-10-17T12:00:00Z</t>
        </is>
      </c>
      <c r="T95" s="63" t="n"/>
      <c r="U95" s="63" t="n">
        <v>1</v>
      </c>
    </row>
    <row r="96">
      <c r="A96" s="63" t="inlineStr">
        <is>
          <t>44a23f65-9015-b7c2-4b71-779491e0b539</t>
        </is>
      </c>
      <c r="B96" s="64" t="n">
        <v>46301</v>
      </c>
      <c r="C96" s="63" t="inlineStr">
        <is>
          <t>Despesa</t>
        </is>
      </c>
      <c r="D96" s="63" t="inlineStr">
        <is>
          <t>Padaria</t>
        </is>
      </c>
      <c r="E96" s="65" t="n">
        <v>31</v>
      </c>
      <c r="F96" s="63" t="inlineStr">
        <is>
          <t>Alimentação</t>
        </is>
      </c>
      <c r="G96" s="63" t="inlineStr">
        <is>
          <t>Conta corrente</t>
        </is>
      </c>
      <c r="H96" s="63" t="n"/>
      <c r="I96" s="63" t="n"/>
      <c r="J96" s="63" t="inlineStr">
        <is>
          <t>Pago</t>
        </is>
      </c>
      <c r="K96" s="63" t="n"/>
      <c r="L96" s="63" t="n"/>
      <c r="M96" s="63" t="n"/>
      <c r="N96" s="63" t="n"/>
      <c r="O96" s="63" t="n"/>
      <c r="P96" s="63" t="n"/>
      <c r="Q96" s="63" t="inlineStr">
        <is>
          <t>exemplo</t>
        </is>
      </c>
      <c r="R96" s="63" t="inlineStr">
        <is>
          <t>2026-10-17T12:00:00Z</t>
        </is>
      </c>
      <c r="S96" s="63" t="inlineStr">
        <is>
          <t>2026-10-17T12:00:00Z</t>
        </is>
      </c>
      <c r="T96" s="63" t="n"/>
      <c r="U96" s="63" t="n">
        <v>1</v>
      </c>
    </row>
    <row r="97">
      <c r="A97" s="63" t="inlineStr">
        <is>
          <t>dc7e351e-5fc8-16f4-afbc-11c41e93a2fb</t>
        </is>
      </c>
      <c r="B97" s="64" t="n">
        <v>46301</v>
      </c>
      <c r="C97" s="63" t="inlineStr">
        <is>
          <t>Transferência</t>
        </is>
      </c>
      <c r="D97" s="63" t="inlineStr">
        <is>
          <t>Reserva mensal</t>
        </is>
      </c>
      <c r="E97" s="65" t="n">
        <v>1000</v>
      </c>
      <c r="F97" s="63" t="n"/>
      <c r="G97" s="63" t="inlineStr">
        <is>
          <t>Conta corrente</t>
        </is>
      </c>
      <c r="H97" s="63" t="inlineStr">
        <is>
          <t>Poupança</t>
        </is>
      </c>
      <c r="I97" s="63" t="n"/>
      <c r="J97" s="63" t="inlineStr">
        <is>
          <t>Pago</t>
        </is>
      </c>
      <c r="K97" s="63" t="n"/>
      <c r="L97" s="63" t="n"/>
      <c r="M97" s="63" t="n"/>
      <c r="N97" s="63" t="n"/>
      <c r="O97" s="63" t="n"/>
      <c r="P97" s="63" t="n"/>
      <c r="Q97" s="63" t="inlineStr">
        <is>
          <t>exemplo</t>
        </is>
      </c>
      <c r="R97" s="63" t="inlineStr">
        <is>
          <t>2026-10-17T12:00:00Z</t>
        </is>
      </c>
      <c r="S97" s="63" t="inlineStr">
        <is>
          <t>2026-10-17T12:00:00Z</t>
        </is>
      </c>
      <c r="T97" s="63" t="n"/>
      <c r="U97" s="63" t="n">
        <v>1</v>
      </c>
    </row>
    <row r="98">
      <c r="A98" s="63" t="inlineStr">
        <is>
          <t>a55c9c8e-2f7c-9cc7-cd64-a752b8ec796e</t>
        </is>
      </c>
      <c r="B98" s="64" t="n">
        <v>46302</v>
      </c>
      <c r="C98" s="63" t="inlineStr">
        <is>
          <t>Despesa</t>
        </is>
      </c>
      <c r="D98" s="63" t="inlineStr">
        <is>
          <t>Restaurante</t>
        </is>
      </c>
      <c r="E98" s="65" t="n">
        <v>96</v>
      </c>
      <c r="F98" s="63" t="inlineStr">
        <is>
          <t>Alimentação</t>
        </is>
      </c>
      <c r="G98" s="63" t="inlineStr">
        <is>
          <t>Cartão de crédito</t>
        </is>
      </c>
      <c r="H98" s="63" t="n"/>
      <c r="I98" s="63" t="n"/>
      <c r="J98" s="63" t="inlineStr">
        <is>
          <t>Pendente</t>
        </is>
      </c>
      <c r="K98" s="63" t="n"/>
      <c r="L98" s="63" t="n"/>
      <c r="M98" s="63" t="n"/>
      <c r="N98" s="63" t="n"/>
      <c r="O98" s="63" t="n"/>
      <c r="P98" s="64" t="n">
        <v>46323</v>
      </c>
      <c r="Q98" s="63" t="inlineStr">
        <is>
          <t>exemplo</t>
        </is>
      </c>
      <c r="R98" s="63" t="inlineStr">
        <is>
          <t>2026-10-17T12:00:00Z</t>
        </is>
      </c>
      <c r="S98" s="63" t="inlineStr">
        <is>
          <t>2026-10-17T12:00:00Z</t>
        </is>
      </c>
      <c r="T98" s="63" t="n"/>
      <c r="U98" s="63" t="n">
        <v>1</v>
      </c>
    </row>
    <row r="99">
      <c r="A99" s="63" t="inlineStr">
        <is>
          <t>2cb8cefc-5814-b53f-2fec-42754e0e8896</t>
        </is>
      </c>
      <c r="B99" s="64" t="n">
        <v>46302</v>
      </c>
      <c r="C99" s="63" t="inlineStr">
        <is>
          <t>Receita</t>
        </is>
      </c>
      <c r="D99" s="63" t="inlineStr">
        <is>
          <t>Salário</t>
        </is>
      </c>
      <c r="E99" s="65" t="n">
        <v>4800</v>
      </c>
      <c r="F99" s="63" t="inlineStr">
        <is>
          <t>Salário</t>
        </is>
      </c>
      <c r="G99" s="63" t="inlineStr">
        <is>
          <t>Conta corrente</t>
        </is>
      </c>
      <c r="H99" s="63" t="n"/>
      <c r="I99" s="63" t="n"/>
      <c r="J99" s="63" t="inlineStr">
        <is>
          <t>Pago</t>
        </is>
      </c>
      <c r="K99" s="63" t="n"/>
      <c r="L99" s="63" t="n"/>
      <c r="M99" s="63" t="n"/>
      <c r="N99" s="63" t="n"/>
      <c r="O99" s="63" t="n"/>
      <c r="P99" s="63" t="n"/>
      <c r="Q99" s="63" t="inlineStr">
        <is>
          <t>exemplo</t>
        </is>
      </c>
      <c r="R99" s="63" t="inlineStr">
        <is>
          <t>2026-10-17T12:00:00Z</t>
        </is>
      </c>
      <c r="S99" s="63" t="inlineStr">
        <is>
          <t>2026-10-17T12:00:00Z</t>
        </is>
      </c>
      <c r="T99" s="63" t="n"/>
      <c r="U99" s="63" t="n">
        <v>1</v>
      </c>
    </row>
    <row r="100">
      <c r="A100" s="63" t="inlineStr">
        <is>
          <t>36de6548-d90e-013a-1835-7aebd0ef5c36</t>
        </is>
      </c>
      <c r="B100" s="64" t="n">
        <v>46303</v>
      </c>
      <c r="C100" s="63" t="inlineStr">
        <is>
          <t>Despesa</t>
        </is>
      </c>
      <c r="D100" s="63" t="inlineStr">
        <is>
          <t>Plano de saúde</t>
        </is>
      </c>
      <c r="E100" s="65" t="n">
        <v>520</v>
      </c>
      <c r="F100" s="63" t="inlineStr">
        <is>
          <t>Saúde</t>
        </is>
      </c>
      <c r="G100" s="63" t="inlineStr">
        <is>
          <t>Conta corrente</t>
        </is>
      </c>
      <c r="H100" s="63" t="n"/>
      <c r="I100" s="63" t="n"/>
      <c r="J100" s="63" t="inlineStr">
        <is>
          <t>Pago</t>
        </is>
      </c>
      <c r="K100" s="63" t="n"/>
      <c r="L100" s="63" t="n"/>
      <c r="M100" s="63" t="n"/>
      <c r="N100" s="63" t="n"/>
      <c r="O100" s="63" t="n"/>
      <c r="P100" s="63" t="n"/>
      <c r="Q100" s="63" t="inlineStr">
        <is>
          <t>exemplo</t>
        </is>
      </c>
      <c r="R100" s="63" t="inlineStr">
        <is>
          <t>2026-10-17T12:00:00Z</t>
        </is>
      </c>
      <c r="S100" s="63" t="inlineStr">
        <is>
          <t>2026-10-17T12:00:00Z</t>
        </is>
      </c>
      <c r="T100" s="63" t="n"/>
      <c r="U100" s="63" t="n">
        <v>1</v>
      </c>
    </row>
    <row r="101">
      <c r="A101" s="63" t="inlineStr">
        <is>
          <t>17d6af8f-f423-f8be-0141-82233b38c237</t>
        </is>
      </c>
      <c r="B101" s="64" t="n">
        <v>46304</v>
      </c>
      <c r="C101" s="63" t="inlineStr">
        <is>
          <t>Despesa</t>
        </is>
      </c>
      <c r="D101" s="63" t="inlineStr">
        <is>
          <t>Academia</t>
        </is>
      </c>
      <c r="E101" s="65" t="n">
        <v>109.9</v>
      </c>
      <c r="F101" s="63" t="inlineStr">
        <is>
          <t>Cuidados pessoais</t>
        </is>
      </c>
      <c r="G101" s="63" t="inlineStr">
        <is>
          <t>Conta corrente</t>
        </is>
      </c>
      <c r="H101" s="63" t="n"/>
      <c r="I101" s="63" t="n"/>
      <c r="J101" s="63" t="inlineStr">
        <is>
          <t>Pago</t>
        </is>
      </c>
      <c r="K101" s="63" t="n"/>
      <c r="L101" s="63" t="n"/>
      <c r="M101" s="63" t="n"/>
      <c r="N101" s="63" t="n"/>
      <c r="O101" s="63" t="n"/>
      <c r="P101" s="63" t="n"/>
      <c r="Q101" s="63" t="inlineStr">
        <is>
          <t>exemplo</t>
        </is>
      </c>
      <c r="R101" s="63" t="inlineStr">
        <is>
          <t>2026-10-17T12:00:00Z</t>
        </is>
      </c>
      <c r="S101" s="63" t="inlineStr">
        <is>
          <t>2026-10-17T12:00:00Z</t>
        </is>
      </c>
      <c r="T101" s="63" t="n"/>
      <c r="U101" s="63" t="n">
        <v>1</v>
      </c>
    </row>
    <row r="102">
      <c r="A102" s="63" t="inlineStr">
        <is>
          <t>ec79b3be-f96a-fc60-ae70-78ea8052b13c</t>
        </is>
      </c>
      <c r="B102" s="64" t="n">
        <v>46304</v>
      </c>
      <c r="C102" s="63" t="inlineStr">
        <is>
          <t>Transferência</t>
        </is>
      </c>
      <c r="D102" s="63" t="inlineStr">
        <is>
          <t>Aporte investimentos</t>
        </is>
      </c>
      <c r="E102" s="65" t="n">
        <v>500</v>
      </c>
      <c r="F102" s="63" t="n"/>
      <c r="G102" s="63" t="inlineStr">
        <is>
          <t>Poupança</t>
        </is>
      </c>
      <c r="H102" s="63" t="inlineStr">
        <is>
          <t>Investimentos</t>
        </is>
      </c>
      <c r="I102" s="63" t="n"/>
      <c r="J102" s="63" t="inlineStr">
        <is>
          <t>Pago</t>
        </is>
      </c>
      <c r="K102" s="63" t="n"/>
      <c r="L102" s="63" t="n"/>
      <c r="M102" s="63" t="n"/>
      <c r="N102" s="63" t="n"/>
      <c r="O102" s="63" t="n"/>
      <c r="P102" s="63" t="n"/>
      <c r="Q102" s="63" t="inlineStr">
        <is>
          <t>exemplo</t>
        </is>
      </c>
      <c r="R102" s="63" t="inlineStr">
        <is>
          <t>2026-10-17T12:00:00Z</t>
        </is>
      </c>
      <c r="S102" s="63" t="inlineStr">
        <is>
          <t>2026-10-17T12:00:00Z</t>
        </is>
      </c>
      <c r="T102" s="63" t="n"/>
      <c r="U102" s="63" t="n">
        <v>1</v>
      </c>
    </row>
    <row r="103">
      <c r="A103" s="63" t="inlineStr">
        <is>
          <t>d8b6dd5b-5a19-67d0-06f5-94cff6111cf2</t>
        </is>
      </c>
      <c r="B103" s="64" t="n">
        <v>46304</v>
      </c>
      <c r="C103" s="63" t="inlineStr">
        <is>
          <t>Despesa</t>
        </is>
      </c>
      <c r="D103" s="63" t="inlineStr">
        <is>
          <t>Mercado</t>
        </is>
      </c>
      <c r="E103" s="65" t="n">
        <v>388.45</v>
      </c>
      <c r="F103" s="63" t="inlineStr">
        <is>
          <t>Mercado</t>
        </is>
      </c>
      <c r="G103" s="63" t="inlineStr">
        <is>
          <t>Cartão de crédito</t>
        </is>
      </c>
      <c r="H103" s="63" t="n"/>
      <c r="I103" s="63" t="n"/>
      <c r="J103" s="63" t="inlineStr">
        <is>
          <t>Pendente</t>
        </is>
      </c>
      <c r="K103" s="63" t="n"/>
      <c r="L103" s="63" t="n"/>
      <c r="M103" s="63" t="n"/>
      <c r="N103" s="63" t="n"/>
      <c r="O103" s="63" t="n"/>
      <c r="P103" s="64" t="n">
        <v>46323</v>
      </c>
      <c r="Q103" s="63" t="inlineStr">
        <is>
          <t>exemplo</t>
        </is>
      </c>
      <c r="R103" s="63" t="inlineStr">
        <is>
          <t>2026-10-17T12:00:00Z</t>
        </is>
      </c>
      <c r="S103" s="63" t="inlineStr">
        <is>
          <t>2026-10-17T12:00:00Z</t>
        </is>
      </c>
      <c r="T103" s="63" t="n"/>
      <c r="U103" s="63" t="n">
        <v>1</v>
      </c>
    </row>
    <row r="104">
      <c r="A104" s="63" t="inlineStr">
        <is>
          <t>49a4c222-6a6d-c402-d0a3-727dc7be5613</t>
        </is>
      </c>
      <c r="B104" s="64" t="n">
        <v>46305</v>
      </c>
      <c r="C104" s="63" t="inlineStr">
        <is>
          <t>Despesa</t>
        </is>
      </c>
      <c r="D104" s="63" t="inlineStr">
        <is>
          <t>Condomínio</t>
        </is>
      </c>
      <c r="E104" s="65" t="n">
        <v>450</v>
      </c>
      <c r="F104" s="63" t="inlineStr">
        <is>
          <t>Moradia</t>
        </is>
      </c>
      <c r="G104" s="63" t="inlineStr">
        <is>
          <t>Conta corrente</t>
        </is>
      </c>
      <c r="H104" s="63" t="n"/>
      <c r="I104" s="63" t="n"/>
      <c r="J104" s="63" t="inlineStr">
        <is>
          <t>Pendente</t>
        </is>
      </c>
      <c r="K104" s="63" t="n"/>
      <c r="L104" s="63" t="n"/>
      <c r="M104" s="63" t="n"/>
      <c r="N104" s="63" t="n"/>
      <c r="O104" s="63" t="n"/>
      <c r="P104" s="63" t="n"/>
      <c r="Q104" s="63" t="inlineStr">
        <is>
          <t>exemplo</t>
        </is>
      </c>
      <c r="R104" s="63" t="inlineStr">
        <is>
          <t>2026-10-17T12:00:00Z</t>
        </is>
      </c>
      <c r="S104" s="63" t="inlineStr">
        <is>
          <t>2026-10-17T12:00:00Z</t>
        </is>
      </c>
      <c r="T104" s="63" t="n"/>
      <c r="U104" s="63" t="n">
        <v>1</v>
      </c>
    </row>
    <row r="105">
      <c r="A105" s="63" t="inlineStr">
        <is>
          <t>e0df084e-ad09-0b97-faa7-176f6d1675c1</t>
        </is>
      </c>
      <c r="B105" s="64" t="n">
        <v>46305</v>
      </c>
      <c r="C105" s="63" t="inlineStr">
        <is>
          <t>Despesa</t>
        </is>
      </c>
      <c r="D105" s="63" t="inlineStr">
        <is>
          <t>IPTU parcela 10/10</t>
        </is>
      </c>
      <c r="E105" s="65" t="n">
        <v>312.4</v>
      </c>
      <c r="F105" s="63" t="inlineStr">
        <is>
          <t>Moradia</t>
        </is>
      </c>
      <c r="G105" s="63" t="inlineStr">
        <is>
          <t>Conta corrente</t>
        </is>
      </c>
      <c r="H105" s="63" t="n"/>
      <c r="I105" s="63" t="n"/>
      <c r="J105" s="63" t="inlineStr">
        <is>
          <t>Pendente</t>
        </is>
      </c>
      <c r="K105" s="63" t="n"/>
      <c r="L105" s="63" t="n"/>
      <c r="M105" s="63" t="n"/>
      <c r="N105" s="63" t="n"/>
      <c r="O105" s="63" t="n"/>
      <c r="P105" s="63" t="n"/>
      <c r="Q105" s="63" t="inlineStr">
        <is>
          <t>exemplo</t>
        </is>
      </c>
      <c r="R105" s="63" t="inlineStr">
        <is>
          <t>2026-10-17T12:00:00Z</t>
        </is>
      </c>
      <c r="S105" s="63" t="inlineStr">
        <is>
          <t>2026-10-17T12:00:00Z</t>
        </is>
      </c>
      <c r="T105" s="63" t="n"/>
      <c r="U105" s="63" t="n">
        <v>1</v>
      </c>
    </row>
    <row r="106">
      <c r="A106" s="63" t="inlineStr">
        <is>
          <t>69616452-038d-04fb-1018-d7f54191590c</t>
        </is>
      </c>
      <c r="B106" s="64" t="n">
        <v>46305</v>
      </c>
      <c r="C106" s="63" t="inlineStr">
        <is>
          <t>Despesa</t>
        </is>
      </c>
      <c r="D106" s="63" t="inlineStr">
        <is>
          <t>Transporte por app</t>
        </is>
      </c>
      <c r="E106" s="65" t="n">
        <v>41.9</v>
      </c>
      <c r="F106" s="63" t="inlineStr">
        <is>
          <t>Transporte</t>
        </is>
      </c>
      <c r="G106" s="63" t="inlineStr">
        <is>
          <t>Cartão de crédito</t>
        </is>
      </c>
      <c r="H106" s="63" t="n"/>
      <c r="I106" s="63" t="n"/>
      <c r="J106" s="63" t="inlineStr">
        <is>
          <t>Pendente</t>
        </is>
      </c>
      <c r="K106" s="63" t="n"/>
      <c r="L106" s="63" t="n"/>
      <c r="M106" s="63" t="n"/>
      <c r="N106" s="63" t="n"/>
      <c r="O106" s="63" t="n"/>
      <c r="P106" s="64" t="n">
        <v>46323</v>
      </c>
      <c r="Q106" s="63" t="inlineStr">
        <is>
          <t>exemplo</t>
        </is>
      </c>
      <c r="R106" s="63" t="inlineStr">
        <is>
          <t>2026-10-17T12:00:00Z</t>
        </is>
      </c>
      <c r="S106" s="63" t="inlineStr">
        <is>
          <t>2026-10-17T12:00:00Z</t>
        </is>
      </c>
      <c r="T106" s="63" t="n"/>
      <c r="U106" s="63" t="n">
        <v>1</v>
      </c>
    </row>
    <row r="107">
      <c r="A107" s="63" t="inlineStr">
        <is>
          <t>8fa960d1-af92-5385-1807-dfaf1f7e4273</t>
        </is>
      </c>
      <c r="B107" s="64" t="n">
        <v>46306</v>
      </c>
      <c r="C107" s="63" t="inlineStr">
        <is>
          <t>Despesa</t>
        </is>
      </c>
      <c r="D107" s="63" t="inlineStr">
        <is>
          <t>Farmácia</t>
        </is>
      </c>
      <c r="E107" s="65" t="n">
        <v>87.59999999999999</v>
      </c>
      <c r="F107" s="63" t="inlineStr">
        <is>
          <t>Saúde</t>
        </is>
      </c>
      <c r="G107" s="63" t="inlineStr">
        <is>
          <t>Conta corrente</t>
        </is>
      </c>
      <c r="H107" s="63" t="n"/>
      <c r="I107" s="63" t="n"/>
      <c r="J107" s="63" t="inlineStr">
        <is>
          <t>Pago</t>
        </is>
      </c>
      <c r="K107" s="63" t="n"/>
      <c r="L107" s="63" t="n"/>
      <c r="M107" s="63" t="n"/>
      <c r="N107" s="63" t="n"/>
      <c r="O107" s="63" t="n"/>
      <c r="P107" s="63" t="n"/>
      <c r="Q107" s="63" t="inlineStr">
        <is>
          <t>exemplo</t>
        </is>
      </c>
      <c r="R107" s="63" t="inlineStr">
        <is>
          <t>2026-10-17T12:00:00Z</t>
        </is>
      </c>
      <c r="S107" s="63" t="inlineStr">
        <is>
          <t>2026-10-17T12:00:00Z</t>
        </is>
      </c>
      <c r="T107" s="63" t="n"/>
      <c r="U107" s="63" t="n">
        <v>1</v>
      </c>
    </row>
    <row r="108">
      <c r="A108" s="63" t="inlineStr">
        <is>
          <t>18afaf54-4382-ad47-c813-063719f900d3</t>
        </is>
      </c>
      <c r="B108" s="64" t="n">
        <v>46306</v>
      </c>
      <c r="C108" s="63" t="inlineStr">
        <is>
          <t>Despesa</t>
        </is>
      </c>
      <c r="D108" s="63" t="inlineStr">
        <is>
          <t>Padaria</t>
        </is>
      </c>
      <c r="E108" s="65" t="n">
        <v>18.9</v>
      </c>
      <c r="F108" s="63" t="inlineStr">
        <is>
          <t>Alimentação</t>
        </is>
      </c>
      <c r="G108" s="63" t="inlineStr">
        <is>
          <t>Carteira</t>
        </is>
      </c>
      <c r="H108" s="63" t="n"/>
      <c r="I108" s="63" t="n"/>
      <c r="J108" s="63" t="inlineStr">
        <is>
          <t>Pago</t>
        </is>
      </c>
      <c r="K108" s="63" t="n"/>
      <c r="L108" s="63" t="n"/>
      <c r="M108" s="63" t="n"/>
      <c r="N108" s="63" t="n"/>
      <c r="O108" s="63" t="n"/>
      <c r="P108" s="63" t="n"/>
      <c r="Q108" s="63" t="inlineStr">
        <is>
          <t>exemplo</t>
        </is>
      </c>
      <c r="R108" s="63" t="inlineStr">
        <is>
          <t>2026-10-17T12:00:00Z</t>
        </is>
      </c>
      <c r="S108" s="63" t="inlineStr">
        <is>
          <t>2026-10-17T12:00:00Z</t>
        </is>
      </c>
      <c r="T108" s="63" t="n"/>
      <c r="U108" s="63" t="n">
        <v>1</v>
      </c>
    </row>
    <row r="109">
      <c r="A109" s="63" t="inlineStr">
        <is>
          <t>767187fd-9814-2612-3733-ef919b97d72a</t>
        </is>
      </c>
      <c r="B109" s="64" t="n">
        <v>46307</v>
      </c>
      <c r="C109" s="63" t="inlineStr">
        <is>
          <t>Despesa</t>
        </is>
      </c>
      <c r="D109" s="63" t="inlineStr">
        <is>
          <t>Salão</t>
        </is>
      </c>
      <c r="E109" s="65" t="n">
        <v>120</v>
      </c>
      <c r="F109" s="63" t="inlineStr">
        <is>
          <t>Cuidados pessoais</t>
        </is>
      </c>
      <c r="G109" s="63" t="inlineStr">
        <is>
          <t>Conta corrente</t>
        </is>
      </c>
      <c r="H109" s="63" t="n"/>
      <c r="I109" s="63" t="n"/>
      <c r="J109" s="63" t="inlineStr">
        <is>
          <t>Pago</t>
        </is>
      </c>
      <c r="K109" s="63" t="n"/>
      <c r="L109" s="63" t="n"/>
      <c r="M109" s="63" t="n"/>
      <c r="N109" s="63" t="n"/>
      <c r="O109" s="63" t="n"/>
      <c r="P109" s="63" t="n"/>
      <c r="Q109" s="63" t="inlineStr">
        <is>
          <t>exemplo</t>
        </is>
      </c>
      <c r="R109" s="63" t="inlineStr">
        <is>
          <t>2026-10-17T12:00:00Z</t>
        </is>
      </c>
      <c r="S109" s="63" t="inlineStr">
        <is>
          <t>2026-10-17T12:00:00Z</t>
        </is>
      </c>
      <c r="T109" s="63" t="n"/>
      <c r="U109" s="63" t="n">
        <v>1</v>
      </c>
    </row>
    <row r="110">
      <c r="A110" s="63" t="inlineStr">
        <is>
          <t>968e485e-46db-73ab-5044-df5c81b2499e</t>
        </is>
      </c>
      <c r="B110" s="64" t="n">
        <v>46308</v>
      </c>
      <c r="C110" s="63" t="inlineStr">
        <is>
          <t>Despesa</t>
        </is>
      </c>
      <c r="D110" s="63" t="inlineStr">
        <is>
          <t>Delivery</t>
        </is>
      </c>
      <c r="E110" s="65" t="n">
        <v>74.5</v>
      </c>
      <c r="F110" s="63" t="inlineStr">
        <is>
          <t>Alimentação</t>
        </is>
      </c>
      <c r="G110" s="63" t="inlineStr">
        <is>
          <t>Cartão de crédito</t>
        </is>
      </c>
      <c r="H110" s="63" t="n"/>
      <c r="I110" s="63" t="n"/>
      <c r="J110" s="63" t="inlineStr">
        <is>
          <t>Pendente</t>
        </is>
      </c>
      <c r="K110" s="63" t="n"/>
      <c r="L110" s="63" t="n"/>
      <c r="M110" s="63" t="n"/>
      <c r="N110" s="63" t="n"/>
      <c r="O110" s="63" t="n"/>
      <c r="P110" s="64" t="n">
        <v>46323</v>
      </c>
      <c r="Q110" s="63" t="inlineStr">
        <is>
          <t>exemplo</t>
        </is>
      </c>
      <c r="R110" s="63" t="inlineStr">
        <is>
          <t>2026-10-17T12:00:00Z</t>
        </is>
      </c>
      <c r="S110" s="63" t="inlineStr">
        <is>
          <t>2026-10-17T12:00:00Z</t>
        </is>
      </c>
      <c r="T110" s="63" t="n"/>
      <c r="U110" s="63" t="n">
        <v>1</v>
      </c>
    </row>
    <row r="111">
      <c r="A111" s="63" t="inlineStr">
        <is>
          <t>9d7a21cb-b6d6-e11f-a79b-8a2ea02fb007</t>
        </is>
      </c>
      <c r="B111" s="64" t="n">
        <v>46308</v>
      </c>
      <c r="C111" s="63" t="inlineStr">
        <is>
          <t>Despesa</t>
        </is>
      </c>
      <c r="D111" s="63" t="inlineStr">
        <is>
          <t>Jaqueta</t>
        </is>
      </c>
      <c r="E111" s="65" t="n">
        <v>249</v>
      </c>
      <c r="F111" s="63" t="inlineStr">
        <is>
          <t>Vestuário</t>
        </is>
      </c>
      <c r="G111" s="63" t="inlineStr">
        <is>
          <t>Cartão de crédito</t>
        </is>
      </c>
      <c r="H111" s="63" t="n"/>
      <c r="I111" s="63" t="n"/>
      <c r="J111" s="63" t="inlineStr">
        <is>
          <t>Pendente</t>
        </is>
      </c>
      <c r="K111" s="63" t="n"/>
      <c r="L111" s="63" t="n"/>
      <c r="M111" s="63" t="n"/>
      <c r="N111" s="63" t="n"/>
      <c r="O111" s="63" t="n"/>
      <c r="P111" s="64" t="n">
        <v>46323</v>
      </c>
      <c r="Q111" s="63" t="inlineStr">
        <is>
          <t>exemplo</t>
        </is>
      </c>
      <c r="R111" s="63" t="inlineStr">
        <is>
          <t>2026-10-17T12:00:00Z</t>
        </is>
      </c>
      <c r="S111" s="63" t="inlineStr">
        <is>
          <t>2026-10-17T12:00:00Z</t>
        </is>
      </c>
      <c r="T111" s="63" t="n"/>
      <c r="U111" s="63" t="n">
        <v>1</v>
      </c>
    </row>
    <row r="112">
      <c r="A112" s="63" t="inlineStr">
        <is>
          <t>9b751151-74bf-589b-c79e-23da50a22a1b</t>
        </is>
      </c>
      <c r="B112" s="64" t="n">
        <v>46309</v>
      </c>
      <c r="C112" s="63" t="inlineStr">
        <is>
          <t>Despesa</t>
        </is>
      </c>
      <c r="D112" s="63" t="inlineStr">
        <is>
          <t>Cinema</t>
        </is>
      </c>
      <c r="E112" s="65" t="n">
        <v>68</v>
      </c>
      <c r="F112" s="63" t="inlineStr">
        <is>
          <t>Lazer</t>
        </is>
      </c>
      <c r="G112" s="63" t="inlineStr">
        <is>
          <t>Cartão de crédito</t>
        </is>
      </c>
      <c r="H112" s="63" t="n"/>
      <c r="I112" s="63" t="n"/>
      <c r="J112" s="63" t="inlineStr">
        <is>
          <t>Pendente</t>
        </is>
      </c>
      <c r="K112" s="63" t="n"/>
      <c r="L112" s="63" t="n"/>
      <c r="M112" s="63" t="n"/>
      <c r="N112" s="63" t="n"/>
      <c r="O112" s="63" t="n"/>
      <c r="P112" s="64" t="n">
        <v>46323</v>
      </c>
      <c r="Q112" s="63" t="inlineStr">
        <is>
          <t>exemplo</t>
        </is>
      </c>
      <c r="R112" s="63" t="inlineStr">
        <is>
          <t>2026-10-17T12:00:00Z</t>
        </is>
      </c>
      <c r="S112" s="63" t="inlineStr">
        <is>
          <t>2026-10-17T12:00:00Z</t>
        </is>
      </c>
      <c r="T112" s="63" t="n"/>
      <c r="U112" s="63" t="n">
        <v>1</v>
      </c>
    </row>
    <row r="113">
      <c r="A113" s="63" t="inlineStr">
        <is>
          <t>0f7815f2-af3e-7dd9-1b25-28692bd8af21</t>
        </is>
      </c>
      <c r="B113" s="64" t="n">
        <v>46309</v>
      </c>
      <c r="C113" s="63" t="inlineStr">
        <is>
          <t>Despesa</t>
        </is>
      </c>
      <c r="D113" s="63" t="inlineStr">
        <is>
          <t>Padaria</t>
        </is>
      </c>
      <c r="E113" s="65" t="n">
        <v>42.3</v>
      </c>
      <c r="F113" s="63" t="inlineStr">
        <is>
          <t>Alimentação</t>
        </is>
      </c>
      <c r="G113" s="63" t="inlineStr">
        <is>
          <t>Conta corrente</t>
        </is>
      </c>
      <c r="H113" s="63" t="n"/>
      <c r="I113" s="63" t="n"/>
      <c r="J113" s="63" t="inlineStr">
        <is>
          <t>Pago</t>
        </is>
      </c>
      <c r="K113" s="63" t="n"/>
      <c r="L113" s="63" t="n"/>
      <c r="M113" s="63" t="n"/>
      <c r="N113" s="63" t="n"/>
      <c r="O113" s="63" t="n"/>
      <c r="P113" s="63" t="n"/>
      <c r="Q113" s="63" t="inlineStr">
        <is>
          <t>exemplo</t>
        </is>
      </c>
      <c r="R113" s="63" t="inlineStr">
        <is>
          <t>2026-10-17T12:00:00Z</t>
        </is>
      </c>
      <c r="S113" s="63" t="inlineStr">
        <is>
          <t>2026-10-17T12:00:00Z</t>
        </is>
      </c>
      <c r="T113" s="63" t="n"/>
      <c r="U113" s="63" t="n">
        <v>1</v>
      </c>
    </row>
    <row r="114">
      <c r="A114" s="63" t="inlineStr">
        <is>
          <t>86f9fa21-1ebf-3deb-71d0-2f517b67cfa6</t>
        </is>
      </c>
      <c r="B114" s="64" t="n">
        <v>46310</v>
      </c>
      <c r="C114" s="63" t="inlineStr">
        <is>
          <t>Despesa</t>
        </is>
      </c>
      <c r="D114" s="63" t="inlineStr">
        <is>
          <t>Internet</t>
        </is>
      </c>
      <c r="E114" s="65" t="n">
        <v>119.9</v>
      </c>
      <c r="F114" s="63" t="inlineStr">
        <is>
          <t>Contas e serviços</t>
        </is>
      </c>
      <c r="G114" s="63" t="inlineStr">
        <is>
          <t>Conta corrente</t>
        </is>
      </c>
      <c r="H114" s="63" t="n"/>
      <c r="I114" s="63" t="n"/>
      <c r="J114" s="63" t="inlineStr">
        <is>
          <t>Pago</t>
        </is>
      </c>
      <c r="K114" s="63" t="n"/>
      <c r="L114" s="63" t="n"/>
      <c r="M114" s="63" t="n"/>
      <c r="N114" s="63" t="n"/>
      <c r="O114" s="63" t="n"/>
      <c r="P114" s="63" t="n"/>
      <c r="Q114" s="63" t="inlineStr">
        <is>
          <t>exemplo</t>
        </is>
      </c>
      <c r="R114" s="63" t="inlineStr">
        <is>
          <t>2026-10-17T12:00:00Z</t>
        </is>
      </c>
      <c r="S114" s="63" t="inlineStr">
        <is>
          <t>2026-10-17T12:00:00Z</t>
        </is>
      </c>
      <c r="T114" s="63" t="n"/>
      <c r="U114" s="63" t="n">
        <v>1</v>
      </c>
    </row>
    <row r="115">
      <c r="A115" s="63" t="inlineStr">
        <is>
          <t>afe987c1-8fdf-6614-5a09-1fd628215db0</t>
        </is>
      </c>
      <c r="B115" s="64" t="n">
        <v>46311</v>
      </c>
      <c r="C115" s="63" t="inlineStr">
        <is>
          <t>Despesa</t>
        </is>
      </c>
      <c r="D115" s="63" t="inlineStr">
        <is>
          <t>Mercado</t>
        </is>
      </c>
      <c r="E115" s="65" t="n">
        <v>436.2</v>
      </c>
      <c r="F115" s="63" t="inlineStr">
        <is>
          <t>Mercado</t>
        </is>
      </c>
      <c r="G115" s="63" t="inlineStr">
        <is>
          <t>Cartão de crédito</t>
        </is>
      </c>
      <c r="H115" s="63" t="n"/>
      <c r="I115" s="63" t="n"/>
      <c r="J115" s="63" t="inlineStr">
        <is>
          <t>Pendente</t>
        </is>
      </c>
      <c r="K115" s="63" t="n"/>
      <c r="L115" s="63" t="n"/>
      <c r="M115" s="63" t="n"/>
      <c r="N115" s="63" t="n"/>
      <c r="O115" s="63" t="n"/>
      <c r="P115" s="64" t="n">
        <v>46323</v>
      </c>
      <c r="Q115" s="63" t="inlineStr">
        <is>
          <t>exemplo</t>
        </is>
      </c>
      <c r="R115" s="63" t="inlineStr">
        <is>
          <t>2026-10-17T12:00:00Z</t>
        </is>
      </c>
      <c r="S115" s="63" t="inlineStr">
        <is>
          <t>2026-10-17T12:00:00Z</t>
        </is>
      </c>
      <c r="T115" s="63" t="n"/>
      <c r="U115" s="63" t="n">
        <v>1</v>
      </c>
    </row>
    <row r="116">
      <c r="A116" s="63" t="inlineStr">
        <is>
          <t>0eabf949-03f3-3851-f726-99ec6a1e860d</t>
        </is>
      </c>
      <c r="B116" s="64" t="n">
        <v>46312</v>
      </c>
      <c r="C116" s="63" t="inlineStr">
        <is>
          <t>Despesa</t>
        </is>
      </c>
      <c r="D116" s="63" t="inlineStr">
        <is>
          <t>Transporte por app</t>
        </is>
      </c>
      <c r="E116" s="65" t="n">
        <v>23.7</v>
      </c>
      <c r="F116" s="63" t="inlineStr">
        <is>
          <t>Transporte</t>
        </is>
      </c>
      <c r="G116" s="63" t="inlineStr">
        <is>
          <t>Cartão de crédito</t>
        </is>
      </c>
      <c r="H116" s="63" t="n"/>
      <c r="I116" s="63" t="n"/>
      <c r="J116" s="63" t="inlineStr">
        <is>
          <t>Pendente</t>
        </is>
      </c>
      <c r="K116" s="63" t="n"/>
      <c r="L116" s="63" t="n"/>
      <c r="M116" s="63" t="n"/>
      <c r="N116" s="63" t="n"/>
      <c r="O116" s="63" t="n"/>
      <c r="P116" s="64" t="n">
        <v>46323</v>
      </c>
      <c r="Q116" s="63" t="inlineStr">
        <is>
          <t>exemplo</t>
        </is>
      </c>
      <c r="R116" s="63" t="inlineStr">
        <is>
          <t>2026-10-17T12:00:00Z</t>
        </is>
      </c>
      <c r="S116" s="63" t="inlineStr">
        <is>
          <t>2026-10-17T12:00:00Z</t>
        </is>
      </c>
      <c r="T116" s="63" t="n"/>
      <c r="U116" s="63" t="n">
        <v>1</v>
      </c>
    </row>
    <row r="117">
      <c r="A117" s="63" t="inlineStr">
        <is>
          <t>4619e5db-cbf5-514c-8652-ab69cbee23b0</t>
        </is>
      </c>
      <c r="B117" s="64" t="n">
        <v>46315</v>
      </c>
      <c r="C117" s="63" t="inlineStr">
        <is>
          <t>Despesa</t>
        </is>
      </c>
      <c r="D117" s="63" t="inlineStr">
        <is>
          <t>Água</t>
        </is>
      </c>
      <c r="E117" s="65" t="n">
        <v>88.3</v>
      </c>
      <c r="F117" s="63" t="inlineStr">
        <is>
          <t>Contas e serviços</t>
        </is>
      </c>
      <c r="G117" s="63" t="inlineStr">
        <is>
          <t>Conta corrente</t>
        </is>
      </c>
      <c r="H117" s="63" t="n"/>
      <c r="I117" s="63" t="n"/>
      <c r="J117" s="63" t="inlineStr">
        <is>
          <t>Pendente</t>
        </is>
      </c>
      <c r="K117" s="63" t="n"/>
      <c r="L117" s="63" t="n"/>
      <c r="M117" s="63" t="n"/>
      <c r="N117" s="63" t="n"/>
      <c r="O117" s="63" t="n"/>
      <c r="P117" s="63" t="n"/>
      <c r="Q117" s="63" t="inlineStr">
        <is>
          <t>exemplo</t>
        </is>
      </c>
      <c r="R117" s="63" t="inlineStr">
        <is>
          <t>2026-10-17T12:00:00Z</t>
        </is>
      </c>
      <c r="S117" s="63" t="inlineStr">
        <is>
          <t>2026-10-17T12:00:00Z</t>
        </is>
      </c>
      <c r="T117" s="63" t="n"/>
      <c r="U117" s="63" t="n">
        <v>1</v>
      </c>
    </row>
    <row r="118">
      <c r="A118" s="63" t="inlineStr">
        <is>
          <t>84f32551-5366-ece2-2d4d-666177bb3654</t>
        </is>
      </c>
      <c r="B118" s="64" t="n">
        <v>46317</v>
      </c>
      <c r="C118" s="63" t="inlineStr">
        <is>
          <t>Despesa</t>
        </is>
      </c>
      <c r="D118" s="63" t="inlineStr">
        <is>
          <t>Energia elétrica</t>
        </is>
      </c>
      <c r="E118" s="65" t="n">
        <v>238</v>
      </c>
      <c r="F118" s="63" t="inlineStr">
        <is>
          <t>Contas e serviços</t>
        </is>
      </c>
      <c r="G118" s="63" t="inlineStr">
        <is>
          <t>Conta corrente</t>
        </is>
      </c>
      <c r="H118" s="63" t="n"/>
      <c r="I118" s="63" t="n"/>
      <c r="J118" s="63" t="inlineStr">
        <is>
          <t>Pendente</t>
        </is>
      </c>
      <c r="K118" s="63" t="n"/>
      <c r="L118" s="63" t="n"/>
      <c r="M118" s="63" t="n"/>
      <c r="N118" s="63" t="n"/>
      <c r="O118" s="63" t="n"/>
      <c r="P118" s="63" t="n"/>
      <c r="Q118" s="63" t="inlineStr">
        <is>
          <t>exemplo</t>
        </is>
      </c>
      <c r="R118" s="63" t="inlineStr">
        <is>
          <t>2026-10-17T12:00:00Z</t>
        </is>
      </c>
      <c r="S118" s="63" t="inlineStr">
        <is>
          <t>2026-10-17T12:00:00Z</t>
        </is>
      </c>
      <c r="T118" s="63" t="n"/>
      <c r="U118" s="63" t="n">
        <v>1</v>
      </c>
    </row>
  </sheetData>
  <autoFilter ref="A1:U20001"/>
  <dataValidations count="4">
    <dataValidation sqref="C2:C20001" showDropDown="0" showInputMessage="0" showErrorMessage="0" allowBlank="1" type="list" errorStyle="warning">
      <formula1>"Despesa,Receita,Transferência"</formula1>
    </dataValidation>
    <dataValidation sqref="J2:J20001" showDropDown="0" showInputMessage="0" showErrorMessage="0" allowBlank="1" type="list" errorStyle="warning">
      <formula1>"Pago,Pendente"</formula1>
    </dataValidation>
    <dataValidation sqref="F2:F20001" showDropDown="0" showInputMessage="0" showErrorMessage="0" allowBlank="1" type="list" errorStyle="warning">
      <formula1>='_Listas'!$J$2:$J$42</formula1>
    </dataValidation>
    <dataValidation sqref="G2:H20001" showDropDown="0" showInputMessage="0" showErrorMessage="0" allowBlank="1" type="list" errorStyle="warning">
      <formula1>='_Listas'!$K$2:$K$13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7A1A"/>
    <outlinePr summaryBelow="1" summaryRight="1"/>
    <pageSetUpPr/>
  </sheetPr>
  <dimension ref="A1:M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18" customWidth="1" min="3" max="3"/>
    <col hidden="1" width="14" customWidth="1" min="4" max="4"/>
    <col width="14" customWidth="1" min="5" max="5"/>
    <col width="14" customWidth="1" min="6" max="6"/>
    <col width="15" customWidth="1" min="7" max="7"/>
    <col width="15" customWidth="1" min="8" max="8"/>
    <col width="8" customWidth="1" min="9" max="9"/>
    <col width="10" customWidth="1" min="10" max="10"/>
    <col width="22" customWidth="1" min="11" max="11"/>
    <col width="22" customWidth="1" min="12" max="12"/>
    <col width="7" customWidth="1" min="13" max="13"/>
  </cols>
  <sheetData>
    <row r="1" ht="22" customHeight="1">
      <c r="A1" s="62" t="inlineStr">
        <is>
          <t>id</t>
        </is>
      </c>
      <c r="B1" s="62" t="inlineStr">
        <is>
          <t>nome</t>
        </is>
      </c>
      <c r="C1" s="62" t="inlineStr">
        <is>
          <t>tipo</t>
        </is>
      </c>
      <c r="D1" s="62" t="inlineStr">
        <is>
          <t>titular</t>
        </is>
      </c>
      <c r="E1" s="62" t="inlineStr">
        <is>
          <t>saldo_inicial</t>
        </is>
      </c>
      <c r="F1" s="62" t="inlineStr">
        <is>
          <t>limite</t>
        </is>
      </c>
      <c r="G1" s="62" t="inlineStr">
        <is>
          <t>dia_fechamento</t>
        </is>
      </c>
      <c r="H1" s="62" t="inlineStr">
        <is>
          <t>dia_vencimento</t>
        </is>
      </c>
      <c r="I1" s="62" t="inlineStr">
        <is>
          <t>ordem</t>
        </is>
      </c>
      <c r="J1" s="62" t="inlineStr">
        <is>
          <t>arquivada</t>
        </is>
      </c>
      <c r="K1" s="62" t="inlineStr">
        <is>
          <t>criado_em</t>
        </is>
      </c>
      <c r="L1" s="62" t="inlineStr">
        <is>
          <t>atualizado_em</t>
        </is>
      </c>
      <c r="M1" s="62" t="inlineStr">
        <is>
          <t>rev</t>
        </is>
      </c>
    </row>
    <row r="2">
      <c r="A2" s="63" t="inlineStr">
        <is>
          <t>d95bafc8-f2a4-d27b-dcf4-bb99f4bea973</t>
        </is>
      </c>
      <c r="B2" s="63" t="inlineStr">
        <is>
          <t>Conta corrente</t>
        </is>
      </c>
      <c r="C2" s="63" t="inlineStr">
        <is>
          <t>Conta corrente</t>
        </is>
      </c>
      <c r="D2" s="63" t="n"/>
      <c r="E2" s="65" t="n">
        <v>3500</v>
      </c>
      <c r="F2" s="63" t="n"/>
      <c r="G2" s="63" t="n"/>
      <c r="H2" s="63" t="n"/>
      <c r="I2" s="63" t="n">
        <v>1</v>
      </c>
      <c r="J2" s="63" t="n"/>
      <c r="K2" s="63" t="inlineStr">
        <is>
          <t>2026-10-17T12:00:00Z</t>
        </is>
      </c>
      <c r="L2" s="63" t="inlineStr">
        <is>
          <t>2026-10-17T12:00:00Z</t>
        </is>
      </c>
      <c r="M2" s="63" t="n">
        <v>1</v>
      </c>
    </row>
    <row r="3">
      <c r="A3" s="63" t="inlineStr">
        <is>
          <t>21636369-8b52-9b4a-97b7-50923ceb3ffd</t>
        </is>
      </c>
      <c r="B3" s="63" t="inlineStr">
        <is>
          <t>Poupança</t>
        </is>
      </c>
      <c r="C3" s="63" t="inlineStr">
        <is>
          <t>Poupança</t>
        </is>
      </c>
      <c r="D3" s="63" t="n"/>
      <c r="E3" s="65" t="n">
        <v>8000</v>
      </c>
      <c r="F3" s="63" t="n"/>
      <c r="G3" s="63" t="n"/>
      <c r="H3" s="63" t="n"/>
      <c r="I3" s="63" t="n">
        <v>2</v>
      </c>
      <c r="J3" s="63" t="n"/>
      <c r="K3" s="63" t="inlineStr">
        <is>
          <t>2026-10-17T12:00:00Z</t>
        </is>
      </c>
      <c r="L3" s="63" t="inlineStr">
        <is>
          <t>2026-10-17T12:00:00Z</t>
        </is>
      </c>
      <c r="M3" s="63" t="n">
        <v>1</v>
      </c>
    </row>
    <row r="4">
      <c r="A4" s="63" t="inlineStr">
        <is>
          <t>b8a1abcd-1a69-16c7-4da4-f9fc3c6da5d7</t>
        </is>
      </c>
      <c r="B4" s="63" t="inlineStr">
        <is>
          <t>Carteira</t>
        </is>
      </c>
      <c r="C4" s="63" t="inlineStr">
        <is>
          <t>Carteira</t>
        </is>
      </c>
      <c r="D4" s="63" t="n"/>
      <c r="E4" s="65" t="n">
        <v>150</v>
      </c>
      <c r="F4" s="63" t="n"/>
      <c r="G4" s="63" t="n"/>
      <c r="H4" s="63" t="n"/>
      <c r="I4" s="63" t="n">
        <v>3</v>
      </c>
      <c r="J4" s="63" t="n"/>
      <c r="K4" s="63" t="inlineStr">
        <is>
          <t>2026-10-17T12:00:00Z</t>
        </is>
      </c>
      <c r="L4" s="63" t="inlineStr">
        <is>
          <t>2026-10-17T12:00:00Z</t>
        </is>
      </c>
      <c r="M4" s="63" t="n">
        <v>1</v>
      </c>
    </row>
    <row r="5">
      <c r="A5" s="63" t="inlineStr">
        <is>
          <t>5bc8fbbc-bde5-c099-4164-d8399f767c45</t>
        </is>
      </c>
      <c r="B5" s="63" t="inlineStr">
        <is>
          <t>Investimentos</t>
        </is>
      </c>
      <c r="C5" s="63" t="inlineStr">
        <is>
          <t>Investimentos</t>
        </is>
      </c>
      <c r="D5" s="63" t="n"/>
      <c r="E5" s="65" t="n">
        <v>12000</v>
      </c>
      <c r="F5" s="63" t="n"/>
      <c r="G5" s="63" t="n"/>
      <c r="H5" s="63" t="n"/>
      <c r="I5" s="63" t="n">
        <v>4</v>
      </c>
      <c r="J5" s="63" t="n"/>
      <c r="K5" s="63" t="inlineStr">
        <is>
          <t>2026-10-17T12:00:00Z</t>
        </is>
      </c>
      <c r="L5" s="63" t="inlineStr">
        <is>
          <t>2026-10-17T12:00:00Z</t>
        </is>
      </c>
      <c r="M5" s="63" t="n">
        <v>1</v>
      </c>
    </row>
    <row r="6">
      <c r="A6" s="63" t="inlineStr">
        <is>
          <t>14a03569-d26b-9496-92e5-dfe8cb1855fe</t>
        </is>
      </c>
      <c r="B6" s="63" t="inlineStr">
        <is>
          <t>Cartão de crédito</t>
        </is>
      </c>
      <c r="C6" s="63" t="inlineStr">
        <is>
          <t>Cartão de crédito</t>
        </is>
      </c>
      <c r="D6" s="63" t="n"/>
      <c r="E6" s="65" t="n">
        <v>-1850</v>
      </c>
      <c r="F6" s="65" t="n">
        <v>6000</v>
      </c>
      <c r="G6" s="63" t="n">
        <v>20</v>
      </c>
      <c r="H6" s="63" t="n">
        <v>28</v>
      </c>
      <c r="I6" s="63" t="n">
        <v>5</v>
      </c>
      <c r="J6" s="63" t="n"/>
      <c r="K6" s="63" t="inlineStr">
        <is>
          <t>2026-10-17T12:00:00Z</t>
        </is>
      </c>
      <c r="L6" s="63" t="inlineStr">
        <is>
          <t>2026-10-17T12:00:00Z</t>
        </is>
      </c>
      <c r="M6" s="63" t="n">
        <v>1</v>
      </c>
    </row>
  </sheetData>
  <dataValidations count="1">
    <dataValidation sqref="C2:C13" showDropDown="0" showInputMessage="0" showErrorMessage="0" allowBlank="1" type="list" errorStyle="warning">
      <formula1>"Conta corrente,Poupança,Carteira,Investimentos,Cartão de crédito"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F7A1A"/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2" customWidth="1" min="3" max="3"/>
    <col width="14" customWidth="1" min="4" max="4"/>
    <col width="12" customWidth="1" min="5" max="5"/>
    <col width="8" customWidth="1" min="6" max="6"/>
    <col width="10" customWidth="1" min="7" max="7"/>
    <col width="22" customWidth="1" min="8" max="8"/>
    <col width="22" customWidth="1" min="9" max="9"/>
    <col width="7" customWidth="1" min="10" max="10"/>
  </cols>
  <sheetData>
    <row r="1" ht="22" customHeight="1">
      <c r="A1" s="62" t="inlineStr">
        <is>
          <t>id</t>
        </is>
      </c>
      <c r="B1" s="62" t="inlineStr">
        <is>
          <t>nome</t>
        </is>
      </c>
      <c r="C1" s="62" t="inlineStr">
        <is>
          <t>tipo</t>
        </is>
      </c>
      <c r="D1" s="62" t="inlineStr">
        <is>
          <t>icone</t>
        </is>
      </c>
      <c r="E1" s="62" t="inlineStr">
        <is>
          <t>cor</t>
        </is>
      </c>
      <c r="F1" s="62" t="inlineStr">
        <is>
          <t>ordem</t>
        </is>
      </c>
      <c r="G1" s="62" t="inlineStr">
        <is>
          <t>arquivada</t>
        </is>
      </c>
      <c r="H1" s="62" t="inlineStr">
        <is>
          <t>criado_em</t>
        </is>
      </c>
      <c r="I1" s="62" t="inlineStr">
        <is>
          <t>atualizado_em</t>
        </is>
      </c>
      <c r="J1" s="62" t="inlineStr">
        <is>
          <t>rev</t>
        </is>
      </c>
    </row>
    <row r="2">
      <c r="A2" s="63" t="inlineStr">
        <is>
          <t>5bb58492-9daf-e6be-ad21-914625ee8c4c</t>
        </is>
      </c>
      <c r="B2" s="63" t="inlineStr">
        <is>
          <t>Alimentação</t>
        </is>
      </c>
      <c r="C2" s="63" t="inlineStr">
        <is>
          <t>Despesa</t>
        </is>
      </c>
      <c r="D2" s="63" t="n"/>
      <c r="E2" s="63" t="n"/>
      <c r="F2" s="63" t="n">
        <v>1</v>
      </c>
      <c r="G2" s="63" t="n"/>
      <c r="H2" s="63" t="inlineStr">
        <is>
          <t>2026-10-17T12:00:00Z</t>
        </is>
      </c>
      <c r="I2" s="63" t="inlineStr">
        <is>
          <t>2026-10-17T12:00:00Z</t>
        </is>
      </c>
      <c r="J2" s="63" t="n">
        <v>1</v>
      </c>
    </row>
    <row r="3">
      <c r="A3" s="63" t="inlineStr">
        <is>
          <t>ef2843ff-74cf-f6a6-b6dc-0914faa30751</t>
        </is>
      </c>
      <c r="B3" s="63" t="inlineStr">
        <is>
          <t>Mercado</t>
        </is>
      </c>
      <c r="C3" s="63" t="inlineStr">
        <is>
          <t>Despesa</t>
        </is>
      </c>
      <c r="D3" s="63" t="n"/>
      <c r="E3" s="63" t="n"/>
      <c r="F3" s="63" t="n">
        <v>2</v>
      </c>
      <c r="G3" s="63" t="n"/>
      <c r="H3" s="63" t="inlineStr">
        <is>
          <t>2026-10-17T12:00:00Z</t>
        </is>
      </c>
      <c r="I3" s="63" t="inlineStr">
        <is>
          <t>2026-10-17T12:00:00Z</t>
        </is>
      </c>
      <c r="J3" s="63" t="n">
        <v>1</v>
      </c>
    </row>
    <row r="4">
      <c r="A4" s="63" t="inlineStr">
        <is>
          <t>32a7cae9-df32-7560-0500-2635f5bffffb</t>
        </is>
      </c>
      <c r="B4" s="63" t="inlineStr">
        <is>
          <t>Moradia</t>
        </is>
      </c>
      <c r="C4" s="63" t="inlineStr">
        <is>
          <t>Despesa</t>
        </is>
      </c>
      <c r="D4" s="63" t="n"/>
      <c r="E4" s="63" t="n"/>
      <c r="F4" s="63" t="n">
        <v>3</v>
      </c>
      <c r="G4" s="63" t="n"/>
      <c r="H4" s="63" t="inlineStr">
        <is>
          <t>2026-10-17T12:00:00Z</t>
        </is>
      </c>
      <c r="I4" s="63" t="inlineStr">
        <is>
          <t>2026-10-17T12:00:00Z</t>
        </is>
      </c>
      <c r="J4" s="63" t="n">
        <v>1</v>
      </c>
    </row>
    <row r="5">
      <c r="A5" s="63" t="inlineStr">
        <is>
          <t>94aa3bff-595f-d6ff-9761-1f4ee0cb1e6b</t>
        </is>
      </c>
      <c r="B5" s="63" t="inlineStr">
        <is>
          <t>Contas e serviços</t>
        </is>
      </c>
      <c r="C5" s="63" t="inlineStr">
        <is>
          <t>Despesa</t>
        </is>
      </c>
      <c r="D5" s="63" t="n"/>
      <c r="E5" s="63" t="n"/>
      <c r="F5" s="63" t="n">
        <v>4</v>
      </c>
      <c r="G5" s="63" t="n"/>
      <c r="H5" s="63" t="inlineStr">
        <is>
          <t>2026-10-17T12:00:00Z</t>
        </is>
      </c>
      <c r="I5" s="63" t="inlineStr">
        <is>
          <t>2026-10-17T12:00:00Z</t>
        </is>
      </c>
      <c r="J5" s="63" t="n">
        <v>1</v>
      </c>
    </row>
    <row r="6">
      <c r="A6" s="63" t="inlineStr">
        <is>
          <t>7aaf4542-e6ae-fc3c-fa6b-b9c4b5ef5e70</t>
        </is>
      </c>
      <c r="B6" s="63" t="inlineStr">
        <is>
          <t>Transporte</t>
        </is>
      </c>
      <c r="C6" s="63" t="inlineStr">
        <is>
          <t>Despesa</t>
        </is>
      </c>
      <c r="D6" s="63" t="n"/>
      <c r="E6" s="63" t="n"/>
      <c r="F6" s="63" t="n">
        <v>5</v>
      </c>
      <c r="G6" s="63" t="n"/>
      <c r="H6" s="63" t="inlineStr">
        <is>
          <t>2026-10-17T12:00:00Z</t>
        </is>
      </c>
      <c r="I6" s="63" t="inlineStr">
        <is>
          <t>2026-10-17T12:00:00Z</t>
        </is>
      </c>
      <c r="J6" s="63" t="n">
        <v>1</v>
      </c>
    </row>
    <row r="7">
      <c r="A7" s="63" t="inlineStr">
        <is>
          <t>c42e1ca0-94cf-6aba-9eab-cba13f19711e</t>
        </is>
      </c>
      <c r="B7" s="63" t="inlineStr">
        <is>
          <t>Saúde</t>
        </is>
      </c>
      <c r="C7" s="63" t="inlineStr">
        <is>
          <t>Despesa</t>
        </is>
      </c>
      <c r="D7" s="63" t="n"/>
      <c r="E7" s="63" t="n"/>
      <c r="F7" s="63" t="n">
        <v>6</v>
      </c>
      <c r="G7" s="63" t="n"/>
      <c r="H7" s="63" t="inlineStr">
        <is>
          <t>2026-10-17T12:00:00Z</t>
        </is>
      </c>
      <c r="I7" s="63" t="inlineStr">
        <is>
          <t>2026-10-17T12:00:00Z</t>
        </is>
      </c>
      <c r="J7" s="63" t="n">
        <v>1</v>
      </c>
    </row>
    <row r="8">
      <c r="A8" s="63" t="inlineStr">
        <is>
          <t>15bf60ec-d0cd-69f3-b71e-45122169c619</t>
        </is>
      </c>
      <c r="B8" s="63" t="inlineStr">
        <is>
          <t>Educação</t>
        </is>
      </c>
      <c r="C8" s="63" t="inlineStr">
        <is>
          <t>Despesa</t>
        </is>
      </c>
      <c r="D8" s="63" t="n"/>
      <c r="E8" s="63" t="n"/>
      <c r="F8" s="63" t="n">
        <v>7</v>
      </c>
      <c r="G8" s="63" t="n"/>
      <c r="H8" s="63" t="inlineStr">
        <is>
          <t>2026-10-17T12:00:00Z</t>
        </is>
      </c>
      <c r="I8" s="63" t="inlineStr">
        <is>
          <t>2026-10-17T12:00:00Z</t>
        </is>
      </c>
      <c r="J8" s="63" t="n">
        <v>1</v>
      </c>
    </row>
    <row r="9">
      <c r="A9" s="63" t="inlineStr">
        <is>
          <t>733611da-7593-4e8d-3aa0-c8cd4792c102</t>
        </is>
      </c>
      <c r="B9" s="63" t="inlineStr">
        <is>
          <t>Lazer</t>
        </is>
      </c>
      <c r="C9" s="63" t="inlineStr">
        <is>
          <t>Despesa</t>
        </is>
      </c>
      <c r="D9" s="63" t="n"/>
      <c r="E9" s="63" t="n"/>
      <c r="F9" s="63" t="n">
        <v>8</v>
      </c>
      <c r="G9" s="63" t="n"/>
      <c r="H9" s="63" t="inlineStr">
        <is>
          <t>2026-10-17T12:00:00Z</t>
        </is>
      </c>
      <c r="I9" s="63" t="inlineStr">
        <is>
          <t>2026-10-17T12:00:00Z</t>
        </is>
      </c>
      <c r="J9" s="63" t="n">
        <v>1</v>
      </c>
    </row>
    <row r="10">
      <c r="A10" s="63" t="inlineStr">
        <is>
          <t>cb6e16b3-6356-3e6e-fdae-c44eef2bcaab</t>
        </is>
      </c>
      <c r="B10" s="63" t="inlineStr">
        <is>
          <t>Assinaturas</t>
        </is>
      </c>
      <c r="C10" s="63" t="inlineStr">
        <is>
          <t>Despesa</t>
        </is>
      </c>
      <c r="D10" s="63" t="n"/>
      <c r="E10" s="63" t="n"/>
      <c r="F10" s="63" t="n">
        <v>9</v>
      </c>
      <c r="G10" s="63" t="n"/>
      <c r="H10" s="63" t="inlineStr">
        <is>
          <t>2026-10-17T12:00:00Z</t>
        </is>
      </c>
      <c r="I10" s="63" t="inlineStr">
        <is>
          <t>2026-10-17T12:00:00Z</t>
        </is>
      </c>
      <c r="J10" s="63" t="n">
        <v>1</v>
      </c>
    </row>
    <row r="11">
      <c r="A11" s="63" t="inlineStr">
        <is>
          <t>ebd05eb7-3677-a4a5-f2df-6035d3c17334</t>
        </is>
      </c>
      <c r="B11" s="63" t="inlineStr">
        <is>
          <t>Vestuário</t>
        </is>
      </c>
      <c r="C11" s="63" t="inlineStr">
        <is>
          <t>Despesa</t>
        </is>
      </c>
      <c r="D11" s="63" t="n"/>
      <c r="E11" s="63" t="n"/>
      <c r="F11" s="63" t="n">
        <v>10</v>
      </c>
      <c r="G11" s="63" t="n"/>
      <c r="H11" s="63" t="inlineStr">
        <is>
          <t>2026-10-17T12:00:00Z</t>
        </is>
      </c>
      <c r="I11" s="63" t="inlineStr">
        <is>
          <t>2026-10-17T12:00:00Z</t>
        </is>
      </c>
      <c r="J11" s="63" t="n">
        <v>1</v>
      </c>
    </row>
    <row r="12">
      <c r="A12" s="63" t="inlineStr">
        <is>
          <t>946dd889-aa84-b6d2-d53d-50bd7b32fabb</t>
        </is>
      </c>
      <c r="B12" s="63" t="inlineStr">
        <is>
          <t>Cuidados pessoais</t>
        </is>
      </c>
      <c r="C12" s="63" t="inlineStr">
        <is>
          <t>Despesa</t>
        </is>
      </c>
      <c r="D12" s="63" t="n"/>
      <c r="E12" s="63" t="n"/>
      <c r="F12" s="63" t="n">
        <v>11</v>
      </c>
      <c r="G12" s="63" t="n"/>
      <c r="H12" s="63" t="inlineStr">
        <is>
          <t>2026-10-17T12:00:00Z</t>
        </is>
      </c>
      <c r="I12" s="63" t="inlineStr">
        <is>
          <t>2026-10-17T12:00:00Z</t>
        </is>
      </c>
      <c r="J12" s="63" t="n">
        <v>1</v>
      </c>
    </row>
    <row r="13">
      <c r="A13" s="63" t="inlineStr">
        <is>
          <t>cfd8984b-de1c-372f-a763-7e0807d27934</t>
        </is>
      </c>
      <c r="B13" s="63" t="inlineStr">
        <is>
          <t>Outros</t>
        </is>
      </c>
      <c r="C13" s="63" t="inlineStr">
        <is>
          <t>Despesa</t>
        </is>
      </c>
      <c r="D13" s="63" t="n"/>
      <c r="E13" s="63" t="n"/>
      <c r="F13" s="63" t="n">
        <v>12</v>
      </c>
      <c r="G13" s="63" t="n"/>
      <c r="H13" s="63" t="inlineStr">
        <is>
          <t>2026-10-17T12:00:00Z</t>
        </is>
      </c>
      <c r="I13" s="63" t="inlineStr">
        <is>
          <t>2026-10-17T12:00:00Z</t>
        </is>
      </c>
      <c r="J13" s="63" t="n">
        <v>1</v>
      </c>
    </row>
    <row r="14">
      <c r="A14" s="63" t="inlineStr">
        <is>
          <t>561b1172-190f-2327-900e-58363dadf2e8</t>
        </is>
      </c>
      <c r="B14" s="63" t="inlineStr">
        <is>
          <t>Salário</t>
        </is>
      </c>
      <c r="C14" s="63" t="inlineStr">
        <is>
          <t>Receita</t>
        </is>
      </c>
      <c r="D14" s="63" t="n"/>
      <c r="E14" s="63" t="n"/>
      <c r="F14" s="63" t="n">
        <v>13</v>
      </c>
      <c r="G14" s="63" t="n"/>
      <c r="H14" s="63" t="inlineStr">
        <is>
          <t>2026-10-17T12:00:00Z</t>
        </is>
      </c>
      <c r="I14" s="63" t="inlineStr">
        <is>
          <t>2026-10-17T12:00:00Z</t>
        </is>
      </c>
      <c r="J14" s="63" t="n">
        <v>1</v>
      </c>
    </row>
    <row r="15">
      <c r="A15" s="63" t="inlineStr">
        <is>
          <t>c702a3d5-326a-54f5-4882-cb35e559dbb2</t>
        </is>
      </c>
      <c r="B15" s="63" t="inlineStr">
        <is>
          <t>Rendimentos</t>
        </is>
      </c>
      <c r="C15" s="63" t="inlineStr">
        <is>
          <t>Receita</t>
        </is>
      </c>
      <c r="D15" s="63" t="n"/>
      <c r="E15" s="63" t="n"/>
      <c r="F15" s="63" t="n">
        <v>14</v>
      </c>
      <c r="G15" s="63" t="n"/>
      <c r="H15" s="63" t="inlineStr">
        <is>
          <t>2026-10-17T12:00:00Z</t>
        </is>
      </c>
      <c r="I15" s="63" t="inlineStr">
        <is>
          <t>2026-10-17T12:00:00Z</t>
        </is>
      </c>
      <c r="J15" s="63" t="n">
        <v>1</v>
      </c>
    </row>
    <row r="16">
      <c r="A16" s="63" t="inlineStr">
        <is>
          <t>8bd5502c-998c-d50d-bed9-c258d2447cb9</t>
        </is>
      </c>
      <c r="B16" s="63" t="inlineStr">
        <is>
          <t>Freelance</t>
        </is>
      </c>
      <c r="C16" s="63" t="inlineStr">
        <is>
          <t>Receita</t>
        </is>
      </c>
      <c r="D16" s="63" t="n"/>
      <c r="E16" s="63" t="n"/>
      <c r="F16" s="63" t="n">
        <v>15</v>
      </c>
      <c r="G16" s="63" t="n"/>
      <c r="H16" s="63" t="inlineStr">
        <is>
          <t>2026-10-17T12:00:00Z</t>
        </is>
      </c>
      <c r="I16" s="63" t="inlineStr">
        <is>
          <t>2026-10-17T12:00:00Z</t>
        </is>
      </c>
      <c r="J16" s="63" t="n">
        <v>1</v>
      </c>
    </row>
    <row r="17">
      <c r="A17" s="63" t="inlineStr">
        <is>
          <t>35b48ae6-2a16-4769-2e70-cb693d776476</t>
        </is>
      </c>
      <c r="B17" s="63" t="inlineStr">
        <is>
          <t>Reembolsos</t>
        </is>
      </c>
      <c r="C17" s="63" t="inlineStr">
        <is>
          <t>Receita</t>
        </is>
      </c>
      <c r="D17" s="63" t="n"/>
      <c r="E17" s="63" t="n"/>
      <c r="F17" s="63" t="n">
        <v>16</v>
      </c>
      <c r="G17" s="63" t="n"/>
      <c r="H17" s="63" t="inlineStr">
        <is>
          <t>2026-10-17T12:00:00Z</t>
        </is>
      </c>
      <c r="I17" s="63" t="inlineStr">
        <is>
          <t>2026-10-17T12:00:00Z</t>
        </is>
      </c>
      <c r="J17" s="63" t="n">
        <v>1</v>
      </c>
    </row>
    <row r="18">
      <c r="A18" s="63" t="inlineStr">
        <is>
          <t>4fea6a7a-2eba-d8d7-a1c4-84b3b602ef1b</t>
        </is>
      </c>
      <c r="B18" s="63" t="inlineStr">
        <is>
          <t>Outras receitas</t>
        </is>
      </c>
      <c r="C18" s="63" t="inlineStr">
        <is>
          <t>Receita</t>
        </is>
      </c>
      <c r="D18" s="63" t="n"/>
      <c r="E18" s="63" t="n"/>
      <c r="F18" s="63" t="n">
        <v>17</v>
      </c>
      <c r="G18" s="63" t="n"/>
      <c r="H18" s="63" t="inlineStr">
        <is>
          <t>2026-10-17T12:00:00Z</t>
        </is>
      </c>
      <c r="I18" s="63" t="inlineStr">
        <is>
          <t>2026-10-17T12:00:00Z</t>
        </is>
      </c>
      <c r="J18" s="6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7A1A"/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22" customWidth="1" min="4" max="4"/>
    <col width="7" customWidth="1" min="5" max="5"/>
  </cols>
  <sheetData>
    <row r="1" ht="22" customHeight="1">
      <c r="A1" s="62" t="inlineStr">
        <is>
          <t>id</t>
        </is>
      </c>
      <c r="B1" s="62" t="inlineStr">
        <is>
          <t>categoria</t>
        </is>
      </c>
      <c r="C1" s="62" t="inlineStr">
        <is>
          <t>limite_mensal</t>
        </is>
      </c>
      <c r="D1" s="62" t="inlineStr">
        <is>
          <t>atualizado_em</t>
        </is>
      </c>
      <c r="E1" s="62" t="inlineStr">
        <is>
          <t>rev</t>
        </is>
      </c>
    </row>
    <row r="2">
      <c r="A2" s="63" t="inlineStr">
        <is>
          <t>de404e1c-89fd-1b3f-8eb7-ae2ff7179bf4</t>
        </is>
      </c>
      <c r="B2" s="63" t="inlineStr">
        <is>
          <t>Mercado</t>
        </is>
      </c>
      <c r="C2" s="65" t="n">
        <v>1800</v>
      </c>
      <c r="D2" s="63" t="inlineStr">
        <is>
          <t>2026-10-17T12:00:00Z</t>
        </is>
      </c>
      <c r="E2" s="63" t="n">
        <v>1</v>
      </c>
    </row>
    <row r="3">
      <c r="A3" s="63" t="inlineStr">
        <is>
          <t>bd8ec9a1-f803-85ed-3d7c-9ec7081ab44d</t>
        </is>
      </c>
      <c r="B3" s="63" t="inlineStr">
        <is>
          <t>Alimentação</t>
        </is>
      </c>
      <c r="C3" s="65" t="n">
        <v>600</v>
      </c>
      <c r="D3" s="63" t="inlineStr">
        <is>
          <t>2026-10-17T12:00:00Z</t>
        </is>
      </c>
      <c r="E3" s="63" t="n">
        <v>1</v>
      </c>
    </row>
    <row r="4">
      <c r="A4" s="63" t="inlineStr">
        <is>
          <t>80abdcc1-6d49-8f3d-350d-aad92245d358</t>
        </is>
      </c>
      <c r="B4" s="63" t="inlineStr">
        <is>
          <t>Transporte</t>
        </is>
      </c>
      <c r="C4" s="65" t="n">
        <v>500</v>
      </c>
      <c r="D4" s="63" t="inlineStr">
        <is>
          <t>2026-10-17T12:00:00Z</t>
        </is>
      </c>
      <c r="E4" s="63" t="n">
        <v>1</v>
      </c>
    </row>
    <row r="5">
      <c r="A5" s="63" t="inlineStr">
        <is>
          <t>640c93b5-910a-d452-9323-f6a62ebe4832</t>
        </is>
      </c>
      <c r="B5" s="63" t="inlineStr">
        <is>
          <t>Lazer</t>
        </is>
      </c>
      <c r="C5" s="65" t="n">
        <v>300</v>
      </c>
      <c r="D5" s="63" t="inlineStr">
        <is>
          <t>2026-10-17T12:00:00Z</t>
        </is>
      </c>
      <c r="E5" s="63" t="n">
        <v>1</v>
      </c>
    </row>
    <row r="6">
      <c r="A6" s="63" t="inlineStr">
        <is>
          <t>c9b5dfe5-865a-86bb-eaab-ef5c6e09ff05</t>
        </is>
      </c>
      <c r="B6" s="63" t="inlineStr">
        <is>
          <t>Assinaturas</t>
        </is>
      </c>
      <c r="C6" s="65" t="n">
        <v>100</v>
      </c>
      <c r="D6" s="63" t="inlineStr">
        <is>
          <t>2026-10-17T12:00:00Z</t>
        </is>
      </c>
      <c r="E6" s="63" t="n">
        <v>1</v>
      </c>
    </row>
    <row r="7">
      <c r="A7" s="63" t="inlineStr">
        <is>
          <t>c3db2246-4cf5-3186-82be-5d12a34268c7</t>
        </is>
      </c>
      <c r="B7" s="63" t="inlineStr">
        <is>
          <t>Saúde</t>
        </is>
      </c>
      <c r="C7" s="65" t="n">
        <v>400</v>
      </c>
      <c r="D7" s="63" t="inlineStr">
        <is>
          <t>2026-10-17T12:00:00Z</t>
        </is>
      </c>
      <c r="E7" s="63" t="n">
        <v>1</v>
      </c>
    </row>
    <row r="8">
      <c r="A8" s="63" t="inlineStr">
        <is>
          <t>662e6120-f781-06fa-25ec-e01b2ff83173</t>
        </is>
      </c>
      <c r="B8" s="63" t="inlineStr">
        <is>
          <t>Vestuário</t>
        </is>
      </c>
      <c r="C8" s="65" t="n">
        <v>250</v>
      </c>
      <c r="D8" s="63" t="inlineStr">
        <is>
          <t>2026-10-17T12:00:00Z</t>
        </is>
      </c>
      <c r="E8" s="63" t="n">
        <v>1</v>
      </c>
    </row>
    <row r="9">
      <c r="A9" s="63" t="inlineStr">
        <is>
          <t>220277ed-001b-ea0f-4c16-8ced103e1e0f</t>
        </is>
      </c>
      <c r="B9" s="63" t="inlineStr">
        <is>
          <t>Contas e serviços</t>
        </is>
      </c>
      <c r="C9" s="65" t="n">
        <v>450</v>
      </c>
      <c r="D9" s="63" t="inlineStr">
        <is>
          <t>2026-10-17T12:00:00Z</t>
        </is>
      </c>
      <c r="E9" s="6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7A1A"/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</cols>
  <sheetData>
    <row r="1" ht="22" customHeight="1">
      <c r="A1" s="62" t="inlineStr">
        <is>
          <t>campo</t>
        </is>
      </c>
      <c r="B1" s="62" t="inlineStr">
        <is>
          <t>valor</t>
        </is>
      </c>
    </row>
    <row r="2">
      <c r="A2" s="63" t="inlineStr">
        <is>
          <t>nome</t>
        </is>
      </c>
      <c r="B2" s="63" t="inlineStr">
        <is>
          <t>Ana</t>
        </is>
      </c>
    </row>
    <row r="3">
      <c r="A3" s="63" t="inlineStr">
        <is>
          <t>sexo</t>
        </is>
      </c>
      <c r="B3" s="63" t="n"/>
    </row>
    <row r="4">
      <c r="A4" s="63" t="inlineStr">
        <is>
          <t>data_nascimento</t>
        </is>
      </c>
      <c r="B4" s="6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0665E"/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</cols>
  <sheetData>
    <row r="1" ht="22" customHeight="1">
      <c r="A1" s="66" t="inlineStr">
        <is>
          <t>chave</t>
        </is>
      </c>
      <c r="B1" s="66" t="inlineStr">
        <is>
          <t>valor</t>
        </is>
      </c>
    </row>
    <row r="2">
      <c r="A2" s="63" t="inlineStr">
        <is>
          <t>schema_version</t>
        </is>
      </c>
      <c r="B2" s="63" t="inlineStr">
        <is>
          <t>1</t>
        </is>
      </c>
    </row>
    <row r="3">
      <c r="A3" s="63" t="inlineStr">
        <is>
          <t>modelo_versao</t>
        </is>
      </c>
      <c r="B3" s="63" t="inlineStr">
        <is>
          <t>1.3.0</t>
        </is>
      </c>
    </row>
    <row r="4">
      <c r="A4" s="63" t="inlineStr">
        <is>
          <t>tipo_planilha</t>
        </is>
      </c>
      <c r="B4" s="63" t="inlineStr">
        <is>
          <t>individual</t>
        </is>
      </c>
    </row>
    <row r="5">
      <c r="A5" s="63" t="inlineStr">
        <is>
          <t>nome_do_espaco</t>
        </is>
      </c>
      <c r="B5" s="63" t="inlineStr">
        <is>
          <t>Pessoal</t>
        </is>
      </c>
    </row>
    <row r="6">
      <c r="A6" s="63" t="inlineStr">
        <is>
          <t>dados_de_exemplo</t>
        </is>
      </c>
      <c r="B6" s="63" t="inlineStr">
        <is>
          <t>sim</t>
        </is>
      </c>
    </row>
    <row r="7">
      <c r="A7" s="63" t="inlineStr">
        <is>
          <t>revisao_global</t>
        </is>
      </c>
      <c r="B7" s="63" t="inlineStr">
        <is>
          <t>0</t>
        </is>
      </c>
    </row>
    <row r="8">
      <c r="A8" s="63" t="inlineStr">
        <is>
          <t>criado_em</t>
        </is>
      </c>
      <c r="B8" s="63" t="inlineStr">
        <is>
          <t>2026-10-17T12:00:00Z</t>
        </is>
      </c>
    </row>
    <row r="9">
      <c r="A9" s="63" t="inlineStr">
        <is>
          <t>aviso</t>
        </is>
      </c>
      <c r="B9" s="63" t="inlineStr">
        <is>
          <t>Não renomeie abas nem cabeçalhos. Veja a aba Leia-me.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70665E"/>
    <outlinePr summaryBelow="1" summaryRight="1"/>
    <pageSetUpPr/>
  </sheetPr>
  <dimension ref="B2:C1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95" customWidth="1" min="3" max="3"/>
  </cols>
  <sheetData>
    <row r="2" ht="30" customHeight="1">
      <c r="B2" s="67" t="inlineStr">
        <is>
          <t>Orange Finance · como esta planilha funciona</t>
        </is>
      </c>
      <c r="C2" s="67" t="n"/>
    </row>
    <row r="4" ht="44" customHeight="1">
      <c r="B4" s="68" t="inlineStr">
        <is>
          <t>O que é</t>
        </is>
      </c>
      <c r="C4" s="69" t="inlineStr">
        <is>
          <t>Planilha criada pelo app Orange Finance. A aba Lançamentos guarda todos os lançamentos; o Dashboard mostra tudo por fórmulas e funciona mesmo sem o app.</t>
        </is>
      </c>
    </row>
    <row r="5" ht="44" customHeight="1">
      <c r="B5" s="68" t="inlineStr">
        <is>
          <t>Tipo de planilha</t>
        </is>
      </c>
      <c r="C5" s="69" t="inlineStr">
        <is>
          <t>INDIVIDUAL: pertence só a você. Para compartilhar finanças com a família, crie um espaço compartilhado no app (gera outra planilha).</t>
        </is>
      </c>
    </row>
    <row r="6" ht="44" customHeight="1">
      <c r="B6" s="68" t="inlineStr">
        <is>
          <t>Dados de exemplo</t>
        </is>
      </c>
      <c r="C6" s="69" t="inlineStr">
        <is>
          <t>As linhas com origem = exemplo são fictícias, só para você ver o painel funcionando. Apague-as antes de usar (o app gera a planilha vazia).</t>
        </is>
      </c>
    </row>
    <row r="7" ht="44" customHeight="1">
      <c r="B7" s="68" t="inlineStr">
        <is>
          <t>Dashboard</t>
        </is>
      </c>
      <c r="C7" s="69" t="inlineStr">
        <is>
          <t>Edite apenas os filtros do topo (ano, mês, conta). Todo o resto é fórmula. Se uma fórmula for apagada, use Arquivo → Histórico de versões.</t>
        </is>
      </c>
    </row>
    <row r="8" ht="44" customHeight="1">
      <c r="B8" s="68" t="inlineStr">
        <is>
          <t>Lançamentos</t>
        </is>
      </c>
      <c r="C8" s="69" t="inlineStr">
        <is>
          <t>Uma linha por lançamento. Valor sempre positivo; o tipo (Despesa, Receita, Transferência) define o sentido. Datas em formato de data. Status: Pago ou Pendente (para receitas, Pago = recebido).</t>
        </is>
      </c>
    </row>
    <row r="9" ht="44" customHeight="1">
      <c r="B9" s="68" t="inlineStr">
        <is>
          <t>Cartão de crédito</t>
        </is>
      </c>
      <c r="C9" s="69" t="inlineStr">
        <is>
          <t>Compras no cartão usam a coluna ciclo_fatura (data de vencimento da fatura). O pagamento da fatura é uma Transferência da conta para o cartão.</t>
        </is>
      </c>
    </row>
    <row r="10" ht="44" customHeight="1">
      <c r="B10" s="68" t="inlineStr">
        <is>
          <t>Exclusão</t>
        </is>
      </c>
      <c r="C10" s="69" t="inlineStr">
        <is>
          <t>Nunca apague linhas: preencha excluido_em com a data. Linhas com excluido_em preenchido são ignoradas pelo Dashboard.</t>
        </is>
      </c>
    </row>
    <row r="11" ht="44" customHeight="1">
      <c r="B11" s="68" t="inlineStr">
        <is>
          <t>Colunas ocultas</t>
        </is>
      </c>
      <c r="C11" s="69" t="inlineStr">
        <is>
          <t>id, serie_id, parcela_n, parcelas_total, frequencia, ciclo_fatura, origem, criado_em, atualizado_em, excluido_em e rev são técnicas. Mostre-as pelo agrupamento de colunas apenas se precisar.</t>
        </is>
      </c>
    </row>
    <row r="12" ht="44" customHeight="1">
      <c r="B12" s="68" t="inlineStr">
        <is>
          <t>Edições manuais</t>
        </is>
      </c>
      <c r="C12" s="69" t="inlineStr">
        <is>
          <t>Você pode editar valores na planilha. Ao editar, aumente o rev da linha e atualize atualizado_em para o app reconhecer a alteração (o app faz isso sozinho quando você edita por ele).</t>
        </is>
      </c>
    </row>
    <row r="13" ht="44" customHeight="1">
      <c r="B13" s="68" t="inlineStr">
        <is>
          <t>Não faça</t>
        </is>
      </c>
      <c r="C13" s="69" t="inlineStr">
        <is>
          <t>Não renomeie abas nem cabeçalhos (linha 1), não reordene colunas, não insira colunas no meio, não use fórmulas nas abas de dados.</t>
        </is>
      </c>
    </row>
    <row r="14" ht="44" customHeight="1">
      <c r="B14" s="68" t="inlineStr">
        <is>
          <t>Limite</t>
        </is>
      </c>
      <c r="C14" s="69" t="inlineStr">
        <is>
          <t>O Dashboard lê até a linha 20001 de Lançamentos (cerca de 20 mil lançamentos).</t>
        </is>
      </c>
    </row>
    <row r="15" ht="44" customHeight="1">
      <c r="B15" s="68" t="inlineStr">
        <is>
          <t>Moeda e fuso</t>
        </is>
      </c>
      <c r="C15" s="69" t="inlineStr">
        <is>
          <t>Defina a localidade da planilha como Brasil e o fuso como America/Sao_Paulo (Arquivo → Configurações) para ver R$ 1.234,56 e datas corretas.</t>
        </is>
      </c>
    </row>
  </sheetData>
  <mergeCells count="1">
    <mergeCell ref="B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anos</t>
        </is>
      </c>
      <c r="B1" t="inlineStr">
        <is>
          <t>meses</t>
        </is>
      </c>
      <c r="C1" t="inlineStr">
        <is>
          <t>meses_abrev</t>
        </is>
      </c>
      <c r="D1" t="inlineStr">
        <is>
          <t>contas_filtro</t>
        </is>
      </c>
      <c r="E1" t="inlineStr">
        <is>
          <t>titulares_filtro</t>
        </is>
      </c>
      <c r="J1" t="inlineStr">
        <is>
          <t>categorias</t>
        </is>
      </c>
      <c r="K1" t="inlineStr">
        <is>
          <t>contas</t>
        </is>
      </c>
    </row>
    <row r="2">
      <c r="A2" t="n">
        <v>2015</v>
      </c>
      <c r="B2" t="inlineStr">
        <is>
          <t>Janeiro</t>
        </is>
      </c>
      <c r="C2" t="inlineStr">
        <is>
          <t>Jan</t>
        </is>
      </c>
      <c r="D2" t="inlineStr">
        <is>
          <t>Todas</t>
        </is>
      </c>
      <c r="E2" t="inlineStr">
        <is>
          <t>Todos</t>
        </is>
      </c>
      <c r="J2">
        <f>IF(Categorias!$B$2="","",Categorias!$B$2)</f>
        <v/>
      </c>
      <c r="K2">
        <f>IF(Contas!$B$2="","",Contas!$B$2)</f>
        <v/>
      </c>
    </row>
    <row r="3">
      <c r="A3" t="n">
        <v>2016</v>
      </c>
      <c r="B3" t="inlineStr">
        <is>
          <t>Fevereiro</t>
        </is>
      </c>
      <c r="C3" t="inlineStr">
        <is>
          <t>Fev</t>
        </is>
      </c>
      <c r="D3">
        <f>IF(Contas!$B$2="","",Contas!$B$2)</f>
        <v/>
      </c>
      <c r="J3">
        <f>IF(Categorias!$B$3="","",Categorias!$B$3)</f>
        <v/>
      </c>
      <c r="K3">
        <f>IF(Contas!$B$3="","",Contas!$B$3)</f>
        <v/>
      </c>
    </row>
    <row r="4">
      <c r="A4" t="n">
        <v>2017</v>
      </c>
      <c r="B4" t="inlineStr">
        <is>
          <t>Março</t>
        </is>
      </c>
      <c r="C4" t="inlineStr">
        <is>
          <t>Mar</t>
        </is>
      </c>
      <c r="D4">
        <f>IF(Contas!$B$3="","",Contas!$B$3)</f>
        <v/>
      </c>
      <c r="J4">
        <f>IF(Categorias!$B$4="","",Categorias!$B$4)</f>
        <v/>
      </c>
      <c r="K4">
        <f>IF(Contas!$B$4="","",Contas!$B$4)</f>
        <v/>
      </c>
    </row>
    <row r="5">
      <c r="A5" t="n">
        <v>2018</v>
      </c>
      <c r="B5" t="inlineStr">
        <is>
          <t>Abril</t>
        </is>
      </c>
      <c r="C5" t="inlineStr">
        <is>
          <t>Abr</t>
        </is>
      </c>
      <c r="D5">
        <f>IF(Contas!$B$4="","",Contas!$B$4)</f>
        <v/>
      </c>
      <c r="J5">
        <f>IF(Categorias!$B$5="","",Categorias!$B$5)</f>
        <v/>
      </c>
      <c r="K5">
        <f>IF(Contas!$B$5="","",Contas!$B$5)</f>
        <v/>
      </c>
    </row>
    <row r="6">
      <c r="A6" t="n">
        <v>2019</v>
      </c>
      <c r="B6" t="inlineStr">
        <is>
          <t>Maio</t>
        </is>
      </c>
      <c r="C6" t="inlineStr">
        <is>
          <t>Mai</t>
        </is>
      </c>
      <c r="D6">
        <f>IF(Contas!$B$5="","",Contas!$B$5)</f>
        <v/>
      </c>
      <c r="J6">
        <f>IF(Categorias!$B$6="","",Categorias!$B$6)</f>
        <v/>
      </c>
      <c r="K6">
        <f>IF(Contas!$B$6="","",Contas!$B$6)</f>
        <v/>
      </c>
    </row>
    <row r="7">
      <c r="A7" t="n">
        <v>2020</v>
      </c>
      <c r="B7" t="inlineStr">
        <is>
          <t>Junho</t>
        </is>
      </c>
      <c r="C7" t="inlineStr">
        <is>
          <t>Jun</t>
        </is>
      </c>
      <c r="D7">
        <f>IF(Contas!$B$6="","",Contas!$B$6)</f>
        <v/>
      </c>
      <c r="J7">
        <f>IF(Categorias!$B$7="","",Categorias!$B$7)</f>
        <v/>
      </c>
      <c r="K7">
        <f>IF(Contas!$B$7="","",Contas!$B$7)</f>
        <v/>
      </c>
    </row>
    <row r="8">
      <c r="A8" t="n">
        <v>2021</v>
      </c>
      <c r="B8" t="inlineStr">
        <is>
          <t>Julho</t>
        </is>
      </c>
      <c r="C8" t="inlineStr">
        <is>
          <t>Jul</t>
        </is>
      </c>
      <c r="D8">
        <f>IF(Contas!$B$7="","",Contas!$B$7)</f>
        <v/>
      </c>
      <c r="J8">
        <f>IF(Categorias!$B$8="","",Categorias!$B$8)</f>
        <v/>
      </c>
      <c r="K8">
        <f>IF(Contas!$B$8="","",Contas!$B$8)</f>
        <v/>
      </c>
    </row>
    <row r="9">
      <c r="A9" t="n">
        <v>2022</v>
      </c>
      <c r="B9" t="inlineStr">
        <is>
          <t>Agosto</t>
        </is>
      </c>
      <c r="C9" t="inlineStr">
        <is>
          <t>Ago</t>
        </is>
      </c>
      <c r="D9">
        <f>IF(Contas!$B$8="","",Contas!$B$8)</f>
        <v/>
      </c>
      <c r="J9">
        <f>IF(Categorias!$B$9="","",Categorias!$B$9)</f>
        <v/>
      </c>
      <c r="K9">
        <f>IF(Contas!$B$9="","",Contas!$B$9)</f>
        <v/>
      </c>
    </row>
    <row r="10">
      <c r="A10" t="n">
        <v>2023</v>
      </c>
      <c r="B10" t="inlineStr">
        <is>
          <t>Setembro</t>
        </is>
      </c>
      <c r="C10" t="inlineStr">
        <is>
          <t>Set</t>
        </is>
      </c>
      <c r="D10">
        <f>IF(Contas!$B$9="","",Contas!$B$9)</f>
        <v/>
      </c>
      <c r="J10">
        <f>IF(Categorias!$B$10="","",Categorias!$B$10)</f>
        <v/>
      </c>
      <c r="K10">
        <f>IF(Contas!$B$10="","",Contas!$B$10)</f>
        <v/>
      </c>
    </row>
    <row r="11">
      <c r="A11" t="n">
        <v>2024</v>
      </c>
      <c r="B11" t="inlineStr">
        <is>
          <t>Outubro</t>
        </is>
      </c>
      <c r="C11" t="inlineStr">
        <is>
          <t>Out</t>
        </is>
      </c>
      <c r="D11">
        <f>IF(Contas!$B$10="","",Contas!$B$10)</f>
        <v/>
      </c>
      <c r="J11">
        <f>IF(Categorias!$B$11="","",Categorias!$B$11)</f>
        <v/>
      </c>
      <c r="K11">
        <f>IF(Contas!$B$11="","",Contas!$B$11)</f>
        <v/>
      </c>
    </row>
    <row r="12">
      <c r="A12" t="n">
        <v>2025</v>
      </c>
      <c r="B12" t="inlineStr">
        <is>
          <t>Novembro</t>
        </is>
      </c>
      <c r="C12" t="inlineStr">
        <is>
          <t>Nov</t>
        </is>
      </c>
      <c r="D12">
        <f>IF(Contas!$B$11="","",Contas!$B$11)</f>
        <v/>
      </c>
      <c r="J12">
        <f>IF(Categorias!$B$12="","",Categorias!$B$12)</f>
        <v/>
      </c>
      <c r="K12">
        <f>IF(Contas!$B$12="","",Contas!$B$12)</f>
        <v/>
      </c>
    </row>
    <row r="13">
      <c r="A13" t="n">
        <v>2026</v>
      </c>
      <c r="B13" t="inlineStr">
        <is>
          <t>Dezembro</t>
        </is>
      </c>
      <c r="C13" t="inlineStr">
        <is>
          <t>Dez</t>
        </is>
      </c>
      <c r="D13">
        <f>IF(Contas!$B$12="","",Contas!$B$12)</f>
        <v/>
      </c>
      <c r="J13">
        <f>IF(Categorias!$B$13="","",Categorias!$B$13)</f>
        <v/>
      </c>
      <c r="K13">
        <f>IF(Contas!$B$13="","",Contas!$B$13)</f>
        <v/>
      </c>
    </row>
    <row r="14">
      <c r="A14" t="n">
        <v>2027</v>
      </c>
      <c r="D14">
        <f>IF(Contas!$B$13="","",Contas!$B$13)</f>
        <v/>
      </c>
      <c r="J14">
        <f>IF(Categorias!$B$14="","",Categorias!$B$14)</f>
        <v/>
      </c>
    </row>
    <row r="15">
      <c r="A15" t="n">
        <v>2028</v>
      </c>
      <c r="J15">
        <f>IF(Categorias!$B$15="","",Categorias!$B$15)</f>
        <v/>
      </c>
    </row>
    <row r="16">
      <c r="A16" t="n">
        <v>2029</v>
      </c>
      <c r="J16">
        <f>IF(Categorias!$B$16="","",Categorias!$B$16)</f>
        <v/>
      </c>
    </row>
    <row r="17">
      <c r="A17" t="n">
        <v>2030</v>
      </c>
      <c r="J17">
        <f>IF(Categorias!$B$17="","",Categorias!$B$17)</f>
        <v/>
      </c>
    </row>
    <row r="18">
      <c r="A18" t="n">
        <v>2031</v>
      </c>
      <c r="J18">
        <f>IF(Categorias!$B$18="","",Categorias!$B$18)</f>
        <v/>
      </c>
    </row>
    <row r="19">
      <c r="A19" t="n">
        <v>2032</v>
      </c>
      <c r="J19">
        <f>IF(Categorias!$B$19="","",Categorias!$B$19)</f>
        <v/>
      </c>
    </row>
    <row r="20">
      <c r="A20" t="n">
        <v>2033</v>
      </c>
      <c r="J20">
        <f>IF(Categorias!$B$20="","",Categorias!$B$20)</f>
        <v/>
      </c>
    </row>
    <row r="21">
      <c r="A21" t="n">
        <v>2034</v>
      </c>
      <c r="J21">
        <f>IF(Categorias!$B$21="","",Categorias!$B$21)</f>
        <v/>
      </c>
    </row>
    <row r="22">
      <c r="A22" t="n">
        <v>2035</v>
      </c>
      <c r="J22">
        <f>IF(Categorias!$B$22="","",Categorias!$B$22)</f>
        <v/>
      </c>
    </row>
    <row r="23">
      <c r="A23" t="n">
        <v>2036</v>
      </c>
      <c r="J23">
        <f>IF(Categorias!$B$23="","",Categorias!$B$23)</f>
        <v/>
      </c>
    </row>
    <row r="24">
      <c r="A24" t="n">
        <v>2037</v>
      </c>
      <c r="J24">
        <f>IF(Categorias!$B$24="","",Categorias!$B$24)</f>
        <v/>
      </c>
    </row>
    <row r="25">
      <c r="A25" t="n">
        <v>2038</v>
      </c>
      <c r="J25">
        <f>IF(Categorias!$B$25="","",Categorias!$B$25)</f>
        <v/>
      </c>
    </row>
    <row r="26">
      <c r="A26" t="n">
        <v>2039</v>
      </c>
      <c r="J26">
        <f>IF(Categorias!$B$26="","",Categorias!$B$26)</f>
        <v/>
      </c>
    </row>
    <row r="27">
      <c r="A27" t="n">
        <v>2040</v>
      </c>
      <c r="J27">
        <f>IF(Categorias!$B$27="","",Categorias!$B$27)</f>
        <v/>
      </c>
    </row>
    <row r="28">
      <c r="J28">
        <f>IF(Categorias!$B$28="","",Categorias!$B$28)</f>
        <v/>
      </c>
    </row>
    <row r="29">
      <c r="J29">
        <f>IF(Categorias!$B$29="","",Categorias!$B$29)</f>
        <v/>
      </c>
    </row>
    <row r="30">
      <c r="J30">
        <f>IF(Categorias!$B$30="","",Categorias!$B$30)</f>
        <v/>
      </c>
    </row>
    <row r="31">
      <c r="J31">
        <f>IF(Categorias!$B$31="","",Categorias!$B$31)</f>
        <v/>
      </c>
    </row>
    <row r="32">
      <c r="J32">
        <f>IF(Categorias!$B$32="","",Categorias!$B$32)</f>
        <v/>
      </c>
    </row>
    <row r="33">
      <c r="J33">
        <f>IF(Categorias!$B$33="","",Categorias!$B$33)</f>
        <v/>
      </c>
    </row>
    <row r="34">
      <c r="J34">
        <f>IF(Categorias!$B$34="","",Categorias!$B$34)</f>
        <v/>
      </c>
    </row>
    <row r="35">
      <c r="J35">
        <f>IF(Categorias!$B$35="","",Categorias!$B$35)</f>
        <v/>
      </c>
    </row>
    <row r="36">
      <c r="J36">
        <f>IF(Categorias!$B$36="","",Categorias!$B$36)</f>
        <v/>
      </c>
    </row>
    <row r="37">
      <c r="J37">
        <f>IF(Categorias!$B$37="","",Categorias!$B$37)</f>
        <v/>
      </c>
    </row>
    <row r="38">
      <c r="J38">
        <f>IF(Categorias!$B$38="","",Categorias!$B$38)</f>
        <v/>
      </c>
    </row>
    <row r="39">
      <c r="J39">
        <f>IF(Categorias!$B$39="","",Categorias!$B$39)</f>
        <v/>
      </c>
    </row>
    <row r="40">
      <c r="J40">
        <f>IF(Categorias!$B$40="","",Categorias!$B$40)</f>
        <v/>
      </c>
    </row>
    <row r="41">
      <c r="J41">
        <f>IF(Categorias!$B$41="","",Categorias!$B$41)</f>
        <v/>
      </c>
    </row>
    <row r="42">
      <c r="J42">
        <f>IF(Categorias!$B$42="","",Categorias!$B$42)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20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16" customWidth="1" min="7" max="7"/>
    <col width="16" customWidth="1" min="8" max="8"/>
    <col width="6" customWidth="1" min="9" max="9"/>
    <col width="14" customWidth="1" min="10" max="10"/>
    <col width="8" customWidth="1" min="11" max="11"/>
    <col width="24" customWidth="1" min="12" max="12"/>
    <col width="14" customWidth="1" min="13" max="13"/>
    <col width="14" customWidth="1" min="14" max="14"/>
    <col width="12" customWidth="1" min="15" max="15"/>
    <col width="4" customWidth="1" min="16" max="16"/>
    <col width="6" customWidth="1" min="17" max="17"/>
    <col width="14" customWidth="1" min="18" max="18"/>
    <col width="8" customWidth="1" min="19" max="19"/>
    <col width="24" customWidth="1" min="20" max="20"/>
    <col width="14" customWidth="1" min="21" max="21"/>
    <col width="14" customWidth="1" min="22" max="22"/>
    <col width="14" customWidth="1" min="23" max="23"/>
    <col width="10" customWidth="1" min="24" max="24"/>
  </cols>
  <sheetData>
    <row r="1">
      <c r="A1" t="inlineStr">
        <is>
          <t>PARÂMETROS (alimentados pelos filtros do Dashboard)</t>
        </is>
      </c>
      <c r="D1" t="inlineStr">
        <is>
          <t>KPIs</t>
        </is>
      </c>
    </row>
    <row r="2">
      <c r="A2" t="inlineStr">
        <is>
          <t>ano</t>
        </is>
      </c>
      <c r="B2">
        <f>Dashboard!$B$6</f>
        <v/>
      </c>
      <c r="D2" t="inlineStr">
        <is>
          <t>rec_mes</t>
        </is>
      </c>
      <c r="E2">
        <f>SUMIFS(L_VALOR,L_TIPO,"Receita",L_DATA,"&gt;="&amp;F_INI,L_DATA,"&lt;="&amp;F_FIM,L_CONTA,F_CONTA,L_TIT,F_TIT,L_EXCL,"")</f>
        <v/>
      </c>
    </row>
    <row r="3">
      <c r="A3" t="inlineStr">
        <is>
          <t>mes_num</t>
        </is>
      </c>
      <c r="B3">
        <f>MATCH(Dashboard!$D$6,'_Listas'!$B$2:$B$13,0)</f>
        <v/>
      </c>
      <c r="D3" t="inlineStr">
        <is>
          <t>desp_mes</t>
        </is>
      </c>
      <c r="E3">
        <f>SUMIFS(L_VALOR,L_TIPO,"Despesa",L_DATA,"&gt;="&amp;F_INI,L_DATA,"&lt;="&amp;F_FIM,L_CONTA,F_CONTA,L_TIT,F_TIT,L_EXCL,"")</f>
        <v/>
      </c>
    </row>
    <row r="4">
      <c r="A4" t="inlineStr">
        <is>
          <t>inicio</t>
        </is>
      </c>
      <c r="B4" s="60">
        <f>DATE(B2,B3,1)</f>
        <v/>
      </c>
      <c r="D4" t="inlineStr">
        <is>
          <t>rec_ant</t>
        </is>
      </c>
      <c r="E4">
        <f>SUMIFS(L_VALOR,L_TIPO,"Receita",L_DATA,"&gt;="&amp;F_INI_ANT,L_DATA,"&lt;="&amp;F_FIM_ANT,L_CONTA,F_CONTA,L_TIT,F_TIT,L_EXCL,"")</f>
        <v/>
      </c>
    </row>
    <row r="5">
      <c r="A5" t="inlineStr">
        <is>
          <t>fim</t>
        </is>
      </c>
      <c r="B5" s="60">
        <f>EOMONTH(B4,0)</f>
        <v/>
      </c>
      <c r="D5" t="inlineStr">
        <is>
          <t>desp_ant</t>
        </is>
      </c>
      <c r="E5">
        <f>SUMIFS(L_VALOR,L_TIPO,"Despesa",L_DATA,"&gt;="&amp;F_INI_ANT,L_DATA,"&lt;="&amp;F_FIM_ANT,L_CONTA,F_CONTA,L_TIT,F_TIT,L_EXCL,"")</f>
        <v/>
      </c>
    </row>
    <row r="6">
      <c r="A6" t="inlineStr">
        <is>
          <t>inicio_ant</t>
        </is>
      </c>
      <c r="B6" s="60">
        <f>EDATE(B4,-1)</f>
        <v/>
      </c>
      <c r="D6" t="inlineStr">
        <is>
          <t>a_pagar_mes</t>
        </is>
      </c>
      <c r="E6">
        <f>SUMPRODUCT((L_TIPO="Despesa")*(L_STATUS="Pendente")*(L_EXCL="")*(((L_CONTA=F_CONTA_SEL)+(F_CONTA_SEL="Todas"))&gt;0)*(((L_TIT=F_TIT_SEL)+(F_TIT_SEL="Todos"))&gt;0)*((L_DATA*(L_CICLO=0)+L_CICLO)&gt;=F_INI)*((L_DATA*(L_CICLO=0)+L_CICLO)&lt;=F_FIM)*L_VALOR)</f>
        <v/>
      </c>
    </row>
    <row r="7">
      <c r="A7" t="inlineStr">
        <is>
          <t>fim_ant</t>
        </is>
      </c>
      <c r="B7" s="60">
        <f>EOMONTH(B6,0)</f>
        <v/>
      </c>
      <c r="D7" t="inlineStr">
        <is>
          <t>atrasadas_valor</t>
        </is>
      </c>
      <c r="E7">
        <f>SUMPRODUCT((L_TIPO="Despesa")*(L_STATUS="Pendente")*(L_EXCL="")*(((L_CONTA=F_CONTA_SEL)+(F_CONTA_SEL="Todas"))&gt;0)*(((L_TIT=F_TIT_SEL)+(F_TIT_SEL="Todos"))&gt;0)*((L_DATA*(L_CICLO=0)+L_CICLO)&gt;0)*((L_DATA*(L_CICLO=0)+L_CICLO)&lt;HOJE)*L_VALOR)</f>
        <v/>
      </c>
    </row>
    <row r="8">
      <c r="A8" t="inlineStr">
        <is>
          <t>conta_sel</t>
        </is>
      </c>
      <c r="B8">
        <f>Dashboard!$F$6</f>
        <v/>
      </c>
      <c r="D8" t="inlineStr">
        <is>
          <t>atrasadas_qtd</t>
        </is>
      </c>
      <c r="E8">
        <f>SUMPRODUCT((L_TIPO="Despesa")*(L_STATUS="Pendente")*(L_EXCL="")*(((L_CONTA=F_CONTA_SEL)+(F_CONTA_SEL="Todas"))&gt;0)*(((L_TIT=F_TIT_SEL)+(F_TIT_SEL="Todos"))&gt;0)*((L_DATA*(L_CICLO=0)+L_CICLO)&gt;0)*((L_DATA*(L_CICLO=0)+L_CICLO)&lt;HOJE))</f>
        <v/>
      </c>
    </row>
    <row r="9">
      <c r="A9" t="inlineStr">
        <is>
          <t>crit_conta</t>
        </is>
      </c>
      <c r="B9">
        <f>IF(B8="Todas","&lt;&gt;#sem#",B8)</f>
        <v/>
      </c>
      <c r="D9" t="inlineStr">
        <is>
          <t>saldo_contas</t>
        </is>
      </c>
      <c r="E9">
        <f>SUMIFS(D160:D171,B160:B171,"&lt;&gt;Cartão de crédito")</f>
        <v/>
      </c>
    </row>
    <row r="10">
      <c r="A10" t="inlineStr">
        <is>
          <t>crit_titular</t>
        </is>
      </c>
      <c r="B10">
        <f>"&lt;&gt;#sem#"</f>
        <v/>
      </c>
      <c r="D10" t="inlineStr">
        <is>
          <t>divida_cartoes</t>
        </is>
      </c>
      <c r="E10">
        <f>MAX(0,-SUMIFS(D160:D171,B160:B171,"Cartão de crédito"))</f>
        <v/>
      </c>
    </row>
    <row r="11">
      <c r="A11" t="inlineStr">
        <is>
          <t>hoje</t>
        </is>
      </c>
      <c r="B11" s="60">
        <f>TODAY()</f>
        <v/>
      </c>
      <c r="D11" t="inlineStr">
        <is>
          <t>maior_cat_nome</t>
        </is>
      </c>
      <c r="E11">
        <f>L15</f>
        <v/>
      </c>
    </row>
    <row r="12">
      <c r="A12" t="inlineStr">
        <is>
          <t>titular_sel</t>
        </is>
      </c>
      <c r="B12">
        <f>"Todos"</f>
        <v/>
      </c>
      <c r="D12" t="inlineStr">
        <is>
          <t>maior_cat_valor</t>
        </is>
      </c>
      <c r="E12">
        <f>M15</f>
        <v/>
      </c>
    </row>
    <row r="13">
      <c r="A13" t="inlineStr">
        <is>
          <t>CATEGORIAS DE DESPESA (mês filtrado)</t>
        </is>
      </c>
    </row>
    <row r="14">
      <c r="A14" t="inlineStr">
        <is>
          <t>nome</t>
        </is>
      </c>
      <c r="B14" t="inlineStr">
        <is>
          <t>tipo</t>
        </is>
      </c>
      <c r="C14" t="inlineStr">
        <is>
          <t>total_mes</t>
        </is>
      </c>
      <c r="D14" t="inlineStr">
        <is>
          <t>total_ant</t>
        </is>
      </c>
      <c r="E14" t="inlineStr">
        <is>
          <t>chave_total</t>
        </is>
      </c>
      <c r="F14" t="inlineStr">
        <is>
          <t>variacao</t>
        </is>
      </c>
      <c r="G14" t="inlineStr">
        <is>
          <t>chave_variacao</t>
        </is>
      </c>
      <c r="I14" t="inlineStr">
        <is>
          <t>rank</t>
        </is>
      </c>
      <c r="J14" t="inlineStr">
        <is>
          <t>chave</t>
        </is>
      </c>
      <c r="K14" t="inlineStr">
        <is>
          <t>idx</t>
        </is>
      </c>
      <c r="L14" t="inlineStr">
        <is>
          <t>categoria</t>
        </is>
      </c>
      <c r="M14" t="inlineStr">
        <is>
          <t>total</t>
        </is>
      </c>
      <c r="N14" t="inlineStr">
        <is>
          <t>pct_total</t>
        </is>
      </c>
      <c r="O14" t="inlineStr">
        <is>
          <t>anterior</t>
        </is>
      </c>
      <c r="Q14" t="inlineStr">
        <is>
          <t>rank</t>
        </is>
      </c>
      <c r="R14" t="inlineStr">
        <is>
          <t>chave</t>
        </is>
      </c>
      <c r="S14" t="inlineStr">
        <is>
          <t>idx</t>
        </is>
      </c>
      <c r="T14" t="inlineStr">
        <is>
          <t>categoria</t>
        </is>
      </c>
      <c r="U14" t="inlineStr">
        <is>
          <t>anterior</t>
        </is>
      </c>
      <c r="V14" t="inlineStr">
        <is>
          <t>atual</t>
        </is>
      </c>
      <c r="W14" t="inlineStr">
        <is>
          <t>delta</t>
        </is>
      </c>
      <c r="X14" t="inlineStr">
        <is>
          <t>delta_pct</t>
        </is>
      </c>
    </row>
    <row r="15">
      <c r="A15">
        <f>IF(Categorias!$B$2="","",Categorias!$B$2)</f>
        <v/>
      </c>
      <c r="B15">
        <f>IF(A15="","",Categorias!$C$2)</f>
        <v/>
      </c>
      <c r="C15">
        <f>IF(B15="Despesa",SUMIFS(L_VALOR,L_TIPO,"Despesa",L_DATA,"&gt;="&amp;F_INI,L_DATA,"&lt;="&amp;F_FIM,L_CONTA,F_CONTA,L_TIT,F_TIT,L_EXCL,"",L_CAT,A15),0)</f>
        <v/>
      </c>
      <c r="D15">
        <f>IF(B15="Despesa",SUMIFS(L_VALOR,L_TIPO,"Despesa",L_DATA,"&gt;="&amp;F_INI_ANT,L_DATA,"&lt;="&amp;F_FIM_ANT,L_CONTA,F_CONTA,L_TIT,F_TIT,L_EXCL,"",L_CAT,A15),0)</f>
        <v/>
      </c>
      <c r="E15">
        <f>IF(C15&gt;0.004,C15+ROW()/10^7,0)</f>
        <v/>
      </c>
      <c r="F15">
        <f>C15-D15</f>
        <v/>
      </c>
      <c r="G15">
        <f>IF(F15&gt;0.004,F15+ROW()/10^7,0)</f>
        <v/>
      </c>
      <c r="I15" t="n">
        <v>1</v>
      </c>
      <c r="J15">
        <f>LARGE($E$15:$E$55,I15)</f>
        <v/>
      </c>
      <c r="K15">
        <f>IF(J15&gt;0,MATCH(J15,$E$15:$E$55,0),0)</f>
        <v/>
      </c>
      <c r="L15">
        <f>IF(K15&gt;0,INDEX($A$15:$A$55,K15),"")</f>
        <v/>
      </c>
      <c r="M15">
        <f>IF(K15&gt;0,INDEX($C$15:$C$55,K15),0)</f>
        <v/>
      </c>
      <c r="N15">
        <f>IF($E$3&gt;0,M15/$E$3,0)</f>
        <v/>
      </c>
      <c r="O15">
        <f>IF(K15&gt;0,INDEX($D$15:$D$55,K15),0)</f>
        <v/>
      </c>
      <c r="Q15" t="n">
        <v>1</v>
      </c>
      <c r="R15">
        <f>LARGE($G$15:$G$55,Q15)</f>
        <v/>
      </c>
      <c r="S15">
        <f>IF(R15&gt;0,MATCH(R15,$G$15:$G$55,0),0)</f>
        <v/>
      </c>
      <c r="T15">
        <f>IF(S15&gt;0,INDEX($A$15:$A$55,S15),"")</f>
        <v/>
      </c>
      <c r="U15">
        <f>IF(S15&gt;0,INDEX($D$15:$D$55,S15),0)</f>
        <v/>
      </c>
      <c r="V15">
        <f>IF(S15&gt;0,INDEX($C$15:$C$55,S15),0)</f>
        <v/>
      </c>
      <c r="W15">
        <f>V15-U15</f>
        <v/>
      </c>
      <c r="X15">
        <f>IF(S15=0,"",IF(U15&gt;0,W15/U15,"novo"))</f>
        <v/>
      </c>
    </row>
    <row r="16">
      <c r="A16">
        <f>IF(Categorias!$B$3="","",Categorias!$B$3)</f>
        <v/>
      </c>
      <c r="B16">
        <f>IF(A16="","",Categorias!$C$3)</f>
        <v/>
      </c>
      <c r="C16">
        <f>IF(B16="Despesa",SUMIFS(L_VALOR,L_TIPO,"Despesa",L_DATA,"&gt;="&amp;F_INI,L_DATA,"&lt;="&amp;F_FIM,L_CONTA,F_CONTA,L_TIT,F_TIT,L_EXCL,"",L_CAT,A16),0)</f>
        <v/>
      </c>
      <c r="D16">
        <f>IF(B16="Despesa",SUMIFS(L_VALOR,L_TIPO,"Despesa",L_DATA,"&gt;="&amp;F_INI_ANT,L_DATA,"&lt;="&amp;F_FIM_ANT,L_CONTA,F_CONTA,L_TIT,F_TIT,L_EXCL,"",L_CAT,A16),0)</f>
        <v/>
      </c>
      <c r="E16">
        <f>IF(C16&gt;0.004,C16+ROW()/10^7,0)</f>
        <v/>
      </c>
      <c r="F16">
        <f>C16-D16</f>
        <v/>
      </c>
      <c r="G16">
        <f>IF(F16&gt;0.004,F16+ROW()/10^7,0)</f>
        <v/>
      </c>
      <c r="I16" t="n">
        <v>2</v>
      </c>
      <c r="J16">
        <f>LARGE($E$15:$E$55,I16)</f>
        <v/>
      </c>
      <c r="K16">
        <f>IF(J16&gt;0,MATCH(J16,$E$15:$E$55,0),0)</f>
        <v/>
      </c>
      <c r="L16">
        <f>IF(K16&gt;0,INDEX($A$15:$A$55,K16),"")</f>
        <v/>
      </c>
      <c r="M16">
        <f>IF(K16&gt;0,INDEX($C$15:$C$55,K16),0)</f>
        <v/>
      </c>
      <c r="N16">
        <f>IF($E$3&gt;0,M16/$E$3,0)</f>
        <v/>
      </c>
      <c r="O16">
        <f>IF(K16&gt;0,INDEX($D$15:$D$55,K16),0)</f>
        <v/>
      </c>
      <c r="Q16" t="n">
        <v>2</v>
      </c>
      <c r="R16">
        <f>LARGE($G$15:$G$55,Q16)</f>
        <v/>
      </c>
      <c r="S16">
        <f>IF(R16&gt;0,MATCH(R16,$G$15:$G$55,0),0)</f>
        <v/>
      </c>
      <c r="T16">
        <f>IF(S16&gt;0,INDEX($A$15:$A$55,S16),"")</f>
        <v/>
      </c>
      <c r="U16">
        <f>IF(S16&gt;0,INDEX($D$15:$D$55,S16),0)</f>
        <v/>
      </c>
      <c r="V16">
        <f>IF(S16&gt;0,INDEX($C$15:$C$55,S16),0)</f>
        <v/>
      </c>
      <c r="W16">
        <f>V16-U16</f>
        <v/>
      </c>
      <c r="X16">
        <f>IF(S16=0,"",IF(U16&gt;0,W16/U16,"novo"))</f>
        <v/>
      </c>
    </row>
    <row r="17">
      <c r="A17">
        <f>IF(Categorias!$B$4="","",Categorias!$B$4)</f>
        <v/>
      </c>
      <c r="B17">
        <f>IF(A17="","",Categorias!$C$4)</f>
        <v/>
      </c>
      <c r="C17">
        <f>IF(B17="Despesa",SUMIFS(L_VALOR,L_TIPO,"Despesa",L_DATA,"&gt;="&amp;F_INI,L_DATA,"&lt;="&amp;F_FIM,L_CONTA,F_CONTA,L_TIT,F_TIT,L_EXCL,"",L_CAT,A17),0)</f>
        <v/>
      </c>
      <c r="D17">
        <f>IF(B17="Despesa",SUMIFS(L_VALOR,L_TIPO,"Despesa",L_DATA,"&gt;="&amp;F_INI_ANT,L_DATA,"&lt;="&amp;F_FIM_ANT,L_CONTA,F_CONTA,L_TIT,F_TIT,L_EXCL,"",L_CAT,A17),0)</f>
        <v/>
      </c>
      <c r="E17">
        <f>IF(C17&gt;0.004,C17+ROW()/10^7,0)</f>
        <v/>
      </c>
      <c r="F17">
        <f>C17-D17</f>
        <v/>
      </c>
      <c r="G17">
        <f>IF(F17&gt;0.004,F17+ROW()/10^7,0)</f>
        <v/>
      </c>
      <c r="I17" t="n">
        <v>3</v>
      </c>
      <c r="J17">
        <f>LARGE($E$15:$E$55,I17)</f>
        <v/>
      </c>
      <c r="K17">
        <f>IF(J17&gt;0,MATCH(J17,$E$15:$E$55,0),0)</f>
        <v/>
      </c>
      <c r="L17">
        <f>IF(K17&gt;0,INDEX($A$15:$A$55,K17),"")</f>
        <v/>
      </c>
      <c r="M17">
        <f>IF(K17&gt;0,INDEX($C$15:$C$55,K17),0)</f>
        <v/>
      </c>
      <c r="N17">
        <f>IF($E$3&gt;0,M17/$E$3,0)</f>
        <v/>
      </c>
      <c r="O17">
        <f>IF(K17&gt;0,INDEX($D$15:$D$55,K17),0)</f>
        <v/>
      </c>
      <c r="Q17" t="n">
        <v>3</v>
      </c>
      <c r="R17">
        <f>LARGE($G$15:$G$55,Q17)</f>
        <v/>
      </c>
      <c r="S17">
        <f>IF(R17&gt;0,MATCH(R17,$G$15:$G$55,0),0)</f>
        <v/>
      </c>
      <c r="T17">
        <f>IF(S17&gt;0,INDEX($A$15:$A$55,S17),"")</f>
        <v/>
      </c>
      <c r="U17">
        <f>IF(S17&gt;0,INDEX($D$15:$D$55,S17),0)</f>
        <v/>
      </c>
      <c r="V17">
        <f>IF(S17&gt;0,INDEX($C$15:$C$55,S17),0)</f>
        <v/>
      </c>
      <c r="W17">
        <f>V17-U17</f>
        <v/>
      </c>
      <c r="X17">
        <f>IF(S17=0,"",IF(U17&gt;0,W17/U17,"novo"))</f>
        <v/>
      </c>
    </row>
    <row r="18">
      <c r="A18">
        <f>IF(Categorias!$B$5="","",Categorias!$B$5)</f>
        <v/>
      </c>
      <c r="B18">
        <f>IF(A18="","",Categorias!$C$5)</f>
        <v/>
      </c>
      <c r="C18">
        <f>IF(B18="Despesa",SUMIFS(L_VALOR,L_TIPO,"Despesa",L_DATA,"&gt;="&amp;F_INI,L_DATA,"&lt;="&amp;F_FIM,L_CONTA,F_CONTA,L_TIT,F_TIT,L_EXCL,"",L_CAT,A18),0)</f>
        <v/>
      </c>
      <c r="D18">
        <f>IF(B18="Despesa",SUMIFS(L_VALOR,L_TIPO,"Despesa",L_DATA,"&gt;="&amp;F_INI_ANT,L_DATA,"&lt;="&amp;F_FIM_ANT,L_CONTA,F_CONTA,L_TIT,F_TIT,L_EXCL,"",L_CAT,A18),0)</f>
        <v/>
      </c>
      <c r="E18">
        <f>IF(C18&gt;0.004,C18+ROW()/10^7,0)</f>
        <v/>
      </c>
      <c r="F18">
        <f>C18-D18</f>
        <v/>
      </c>
      <c r="G18">
        <f>IF(F18&gt;0.004,F18+ROW()/10^7,0)</f>
        <v/>
      </c>
      <c r="I18" t="n">
        <v>4</v>
      </c>
      <c r="J18">
        <f>LARGE($E$15:$E$55,I18)</f>
        <v/>
      </c>
      <c r="K18">
        <f>IF(J18&gt;0,MATCH(J18,$E$15:$E$55,0),0)</f>
        <v/>
      </c>
      <c r="L18">
        <f>IF(K18&gt;0,INDEX($A$15:$A$55,K18),"")</f>
        <v/>
      </c>
      <c r="M18">
        <f>IF(K18&gt;0,INDEX($C$15:$C$55,K18),0)</f>
        <v/>
      </c>
      <c r="N18">
        <f>IF($E$3&gt;0,M18/$E$3,0)</f>
        <v/>
      </c>
      <c r="O18">
        <f>IF(K18&gt;0,INDEX($D$15:$D$55,K18),0)</f>
        <v/>
      </c>
      <c r="Q18" t="n">
        <v>4</v>
      </c>
      <c r="R18">
        <f>LARGE($G$15:$G$55,Q18)</f>
        <v/>
      </c>
      <c r="S18">
        <f>IF(R18&gt;0,MATCH(R18,$G$15:$G$55,0),0)</f>
        <v/>
      </c>
      <c r="T18">
        <f>IF(S18&gt;0,INDEX($A$15:$A$55,S18),"")</f>
        <v/>
      </c>
      <c r="U18">
        <f>IF(S18&gt;0,INDEX($D$15:$D$55,S18),0)</f>
        <v/>
      </c>
      <c r="V18">
        <f>IF(S18&gt;0,INDEX($C$15:$C$55,S18),0)</f>
        <v/>
      </c>
      <c r="W18">
        <f>V18-U18</f>
        <v/>
      </c>
      <c r="X18">
        <f>IF(S18=0,"",IF(U18&gt;0,W18/U18,"novo"))</f>
        <v/>
      </c>
    </row>
    <row r="19">
      <c r="A19">
        <f>IF(Categorias!$B$6="","",Categorias!$B$6)</f>
        <v/>
      </c>
      <c r="B19">
        <f>IF(A19="","",Categorias!$C$6)</f>
        <v/>
      </c>
      <c r="C19">
        <f>IF(B19="Despesa",SUMIFS(L_VALOR,L_TIPO,"Despesa",L_DATA,"&gt;="&amp;F_INI,L_DATA,"&lt;="&amp;F_FIM,L_CONTA,F_CONTA,L_TIT,F_TIT,L_EXCL,"",L_CAT,A19),0)</f>
        <v/>
      </c>
      <c r="D19">
        <f>IF(B19="Despesa",SUMIFS(L_VALOR,L_TIPO,"Despesa",L_DATA,"&gt;="&amp;F_INI_ANT,L_DATA,"&lt;="&amp;F_FIM_ANT,L_CONTA,F_CONTA,L_TIT,F_TIT,L_EXCL,"",L_CAT,A19),0)</f>
        <v/>
      </c>
      <c r="E19">
        <f>IF(C19&gt;0.004,C19+ROW()/10^7,0)</f>
        <v/>
      </c>
      <c r="F19">
        <f>C19-D19</f>
        <v/>
      </c>
      <c r="G19">
        <f>IF(F19&gt;0.004,F19+ROW()/10^7,0)</f>
        <v/>
      </c>
      <c r="I19" t="n">
        <v>5</v>
      </c>
      <c r="J19">
        <f>LARGE($E$15:$E$55,I19)</f>
        <v/>
      </c>
      <c r="K19">
        <f>IF(J19&gt;0,MATCH(J19,$E$15:$E$55,0),0)</f>
        <v/>
      </c>
      <c r="L19">
        <f>IF(K19&gt;0,INDEX($A$15:$A$55,K19),"")</f>
        <v/>
      </c>
      <c r="M19">
        <f>IF(K19&gt;0,INDEX($C$15:$C$55,K19),0)</f>
        <v/>
      </c>
      <c r="N19">
        <f>IF($E$3&gt;0,M19/$E$3,0)</f>
        <v/>
      </c>
      <c r="O19">
        <f>IF(K19&gt;0,INDEX($D$15:$D$55,K19),0)</f>
        <v/>
      </c>
      <c r="Q19" t="n">
        <v>5</v>
      </c>
      <c r="R19">
        <f>LARGE($G$15:$G$55,Q19)</f>
        <v/>
      </c>
      <c r="S19">
        <f>IF(R19&gt;0,MATCH(R19,$G$15:$G$55,0),0)</f>
        <v/>
      </c>
      <c r="T19">
        <f>IF(S19&gt;0,INDEX($A$15:$A$55,S19),"")</f>
        <v/>
      </c>
      <c r="U19">
        <f>IF(S19&gt;0,INDEX($D$15:$D$55,S19),0)</f>
        <v/>
      </c>
      <c r="V19">
        <f>IF(S19&gt;0,INDEX($C$15:$C$55,S19),0)</f>
        <v/>
      </c>
      <c r="W19">
        <f>V19-U19</f>
        <v/>
      </c>
      <c r="X19">
        <f>IF(S19=0,"",IF(U19&gt;0,W19/U19,"novo"))</f>
        <v/>
      </c>
    </row>
    <row r="20">
      <c r="A20">
        <f>IF(Categorias!$B$7="","",Categorias!$B$7)</f>
        <v/>
      </c>
      <c r="B20">
        <f>IF(A20="","",Categorias!$C$7)</f>
        <v/>
      </c>
      <c r="C20">
        <f>IF(B20="Despesa",SUMIFS(L_VALOR,L_TIPO,"Despesa",L_DATA,"&gt;="&amp;F_INI,L_DATA,"&lt;="&amp;F_FIM,L_CONTA,F_CONTA,L_TIT,F_TIT,L_EXCL,"",L_CAT,A20),0)</f>
        <v/>
      </c>
      <c r="D20">
        <f>IF(B20="Despesa",SUMIFS(L_VALOR,L_TIPO,"Despesa",L_DATA,"&gt;="&amp;F_INI_ANT,L_DATA,"&lt;="&amp;F_FIM_ANT,L_CONTA,F_CONTA,L_TIT,F_TIT,L_EXCL,"",L_CAT,A20),0)</f>
        <v/>
      </c>
      <c r="E20">
        <f>IF(C20&gt;0.004,C20+ROW()/10^7,0)</f>
        <v/>
      </c>
      <c r="F20">
        <f>C20-D20</f>
        <v/>
      </c>
      <c r="G20">
        <f>IF(F20&gt;0.004,F20+ROW()/10^7,0)</f>
        <v/>
      </c>
      <c r="I20" t="n">
        <v>6</v>
      </c>
      <c r="J20">
        <f>LARGE($E$15:$E$55,I20)</f>
        <v/>
      </c>
      <c r="K20">
        <f>IF(J20&gt;0,MATCH(J20,$E$15:$E$55,0),0)</f>
        <v/>
      </c>
      <c r="L20">
        <f>IF(K20&gt;0,INDEX($A$15:$A$55,K20),"")</f>
        <v/>
      </c>
      <c r="M20">
        <f>IF(K20&gt;0,INDEX($C$15:$C$55,K20),0)</f>
        <v/>
      </c>
      <c r="N20">
        <f>IF($E$3&gt;0,M20/$E$3,0)</f>
        <v/>
      </c>
      <c r="O20">
        <f>IF(K20&gt;0,INDEX($D$15:$D$55,K20),0)</f>
        <v/>
      </c>
    </row>
    <row r="21">
      <c r="A21">
        <f>IF(Categorias!$B$8="","",Categorias!$B$8)</f>
        <v/>
      </c>
      <c r="B21">
        <f>IF(A21="","",Categorias!$C$8)</f>
        <v/>
      </c>
      <c r="C21">
        <f>IF(B21="Despesa",SUMIFS(L_VALOR,L_TIPO,"Despesa",L_DATA,"&gt;="&amp;F_INI,L_DATA,"&lt;="&amp;F_FIM,L_CONTA,F_CONTA,L_TIT,F_TIT,L_EXCL,"",L_CAT,A21),0)</f>
        <v/>
      </c>
      <c r="D21">
        <f>IF(B21="Despesa",SUMIFS(L_VALOR,L_TIPO,"Despesa",L_DATA,"&gt;="&amp;F_INI_ANT,L_DATA,"&lt;="&amp;F_FIM_ANT,L_CONTA,F_CONTA,L_TIT,F_TIT,L_EXCL,"",L_CAT,A21),0)</f>
        <v/>
      </c>
      <c r="E21">
        <f>IF(C21&gt;0.004,C21+ROW()/10^7,0)</f>
        <v/>
      </c>
      <c r="F21">
        <f>C21-D21</f>
        <v/>
      </c>
      <c r="G21">
        <f>IF(F21&gt;0.004,F21+ROW()/10^7,0)</f>
        <v/>
      </c>
      <c r="I21" t="n">
        <v>7</v>
      </c>
      <c r="J21">
        <f>LARGE($E$15:$E$55,I21)</f>
        <v/>
      </c>
      <c r="K21">
        <f>IF(J21&gt;0,MATCH(J21,$E$15:$E$55,0),0)</f>
        <v/>
      </c>
      <c r="L21">
        <f>IF(K21&gt;0,INDEX($A$15:$A$55,K21),"")</f>
        <v/>
      </c>
      <c r="M21">
        <f>IF(K21&gt;0,INDEX($C$15:$C$55,K21),0)</f>
        <v/>
      </c>
      <c r="N21">
        <f>IF($E$3&gt;0,M21/$E$3,0)</f>
        <v/>
      </c>
      <c r="O21">
        <f>IF(K21&gt;0,INDEX($D$15:$D$55,K21),0)</f>
        <v/>
      </c>
    </row>
    <row r="22">
      <c r="A22">
        <f>IF(Categorias!$B$9="","",Categorias!$B$9)</f>
        <v/>
      </c>
      <c r="B22">
        <f>IF(A22="","",Categorias!$C$9)</f>
        <v/>
      </c>
      <c r="C22">
        <f>IF(B22="Despesa",SUMIFS(L_VALOR,L_TIPO,"Despesa",L_DATA,"&gt;="&amp;F_INI,L_DATA,"&lt;="&amp;F_FIM,L_CONTA,F_CONTA,L_TIT,F_TIT,L_EXCL,"",L_CAT,A22),0)</f>
        <v/>
      </c>
      <c r="D22">
        <f>IF(B22="Despesa",SUMIFS(L_VALOR,L_TIPO,"Despesa",L_DATA,"&gt;="&amp;F_INI_ANT,L_DATA,"&lt;="&amp;F_FIM_ANT,L_CONTA,F_CONTA,L_TIT,F_TIT,L_EXCL,"",L_CAT,A22),0)</f>
        <v/>
      </c>
      <c r="E22">
        <f>IF(C22&gt;0.004,C22+ROW()/10^7,0)</f>
        <v/>
      </c>
      <c r="F22">
        <f>C22-D22</f>
        <v/>
      </c>
      <c r="G22">
        <f>IF(F22&gt;0.004,F22+ROW()/10^7,0)</f>
        <v/>
      </c>
      <c r="I22" t="n">
        <v>8</v>
      </c>
      <c r="J22">
        <f>LARGE($E$15:$E$55,I22)</f>
        <v/>
      </c>
      <c r="K22">
        <f>IF(J22&gt;0,MATCH(J22,$E$15:$E$55,0),0)</f>
        <v/>
      </c>
      <c r="L22">
        <f>IF(K22&gt;0,INDEX($A$15:$A$55,K22),"")</f>
        <v/>
      </c>
      <c r="M22">
        <f>IF(K22&gt;0,INDEX($C$15:$C$55,K22),0)</f>
        <v/>
      </c>
      <c r="N22">
        <f>IF($E$3&gt;0,M22/$E$3,0)</f>
        <v/>
      </c>
      <c r="O22">
        <f>IF(K22&gt;0,INDEX($D$15:$D$55,K22),0)</f>
        <v/>
      </c>
    </row>
    <row r="23">
      <c r="A23">
        <f>IF(Categorias!$B$10="","",Categorias!$B$10)</f>
        <v/>
      </c>
      <c r="B23">
        <f>IF(A23="","",Categorias!$C$10)</f>
        <v/>
      </c>
      <c r="C23">
        <f>IF(B23="Despesa",SUMIFS(L_VALOR,L_TIPO,"Despesa",L_DATA,"&gt;="&amp;F_INI,L_DATA,"&lt;="&amp;F_FIM,L_CONTA,F_CONTA,L_TIT,F_TIT,L_EXCL,"",L_CAT,A23),0)</f>
        <v/>
      </c>
      <c r="D23">
        <f>IF(B23="Despesa",SUMIFS(L_VALOR,L_TIPO,"Despesa",L_DATA,"&gt;="&amp;F_INI_ANT,L_DATA,"&lt;="&amp;F_FIM_ANT,L_CONTA,F_CONTA,L_TIT,F_TIT,L_EXCL,"",L_CAT,A23),0)</f>
        <v/>
      </c>
      <c r="E23">
        <f>IF(C23&gt;0.004,C23+ROW()/10^7,0)</f>
        <v/>
      </c>
      <c r="F23">
        <f>C23-D23</f>
        <v/>
      </c>
      <c r="G23">
        <f>IF(F23&gt;0.004,F23+ROW()/10^7,0)</f>
        <v/>
      </c>
      <c r="I23" t="n">
        <v>9</v>
      </c>
      <c r="J23">
        <f>LARGE($E$15:$E$55,I23)</f>
        <v/>
      </c>
      <c r="K23">
        <f>IF(J23&gt;0,MATCH(J23,$E$15:$E$55,0),0)</f>
        <v/>
      </c>
      <c r="L23">
        <f>IF(K23&gt;0,INDEX($A$15:$A$55,K23),"")</f>
        <v/>
      </c>
      <c r="M23">
        <f>IF(K23&gt;0,INDEX($C$15:$C$55,K23),0)</f>
        <v/>
      </c>
      <c r="N23">
        <f>IF($E$3&gt;0,M23/$E$3,0)</f>
        <v/>
      </c>
      <c r="O23">
        <f>IF(K23&gt;0,INDEX($D$15:$D$55,K23),0)</f>
        <v/>
      </c>
    </row>
    <row r="24">
      <c r="A24">
        <f>IF(Categorias!$B$11="","",Categorias!$B$11)</f>
        <v/>
      </c>
      <c r="B24">
        <f>IF(A24="","",Categorias!$C$11)</f>
        <v/>
      </c>
      <c r="C24">
        <f>IF(B24="Despesa",SUMIFS(L_VALOR,L_TIPO,"Despesa",L_DATA,"&gt;="&amp;F_INI,L_DATA,"&lt;="&amp;F_FIM,L_CONTA,F_CONTA,L_TIT,F_TIT,L_EXCL,"",L_CAT,A24),0)</f>
        <v/>
      </c>
      <c r="D24">
        <f>IF(B24="Despesa",SUMIFS(L_VALOR,L_TIPO,"Despesa",L_DATA,"&gt;="&amp;F_INI_ANT,L_DATA,"&lt;="&amp;F_FIM_ANT,L_CONTA,F_CONTA,L_TIT,F_TIT,L_EXCL,"",L_CAT,A24),0)</f>
        <v/>
      </c>
      <c r="E24">
        <f>IF(C24&gt;0.004,C24+ROW()/10^7,0)</f>
        <v/>
      </c>
      <c r="F24">
        <f>C24-D24</f>
        <v/>
      </c>
      <c r="G24">
        <f>IF(F24&gt;0.004,F24+ROW()/10^7,0)</f>
        <v/>
      </c>
      <c r="I24" t="n">
        <v>10</v>
      </c>
      <c r="J24">
        <f>LARGE($E$15:$E$55,I24)</f>
        <v/>
      </c>
      <c r="K24">
        <f>IF(J24&gt;0,MATCH(J24,$E$15:$E$55,0),0)</f>
        <v/>
      </c>
      <c r="L24">
        <f>IF(K24&gt;0,INDEX($A$15:$A$55,K24),"")</f>
        <v/>
      </c>
      <c r="M24">
        <f>IF(K24&gt;0,INDEX($C$15:$C$55,K24),0)</f>
        <v/>
      </c>
      <c r="N24">
        <f>IF($E$3&gt;0,M24/$E$3,0)</f>
        <v/>
      </c>
      <c r="O24">
        <f>IF(K24&gt;0,INDEX($D$15:$D$55,K24),0)</f>
        <v/>
      </c>
    </row>
    <row r="25">
      <c r="A25">
        <f>IF(Categorias!$B$12="","",Categorias!$B$12)</f>
        <v/>
      </c>
      <c r="B25">
        <f>IF(A25="","",Categorias!$C$12)</f>
        <v/>
      </c>
      <c r="C25">
        <f>IF(B25="Despesa",SUMIFS(L_VALOR,L_TIPO,"Despesa",L_DATA,"&gt;="&amp;F_INI,L_DATA,"&lt;="&amp;F_FIM,L_CONTA,F_CONTA,L_TIT,F_TIT,L_EXCL,"",L_CAT,A25),0)</f>
        <v/>
      </c>
      <c r="D25">
        <f>IF(B25="Despesa",SUMIFS(L_VALOR,L_TIPO,"Despesa",L_DATA,"&gt;="&amp;F_INI_ANT,L_DATA,"&lt;="&amp;F_FIM_ANT,L_CONTA,F_CONTA,L_TIT,F_TIT,L_EXCL,"",L_CAT,A25),0)</f>
        <v/>
      </c>
      <c r="E25">
        <f>IF(C25&gt;0.004,C25+ROW()/10^7,0)</f>
        <v/>
      </c>
      <c r="F25">
        <f>C25-D25</f>
        <v/>
      </c>
      <c r="G25">
        <f>IF(F25&gt;0.004,F25+ROW()/10^7,0)</f>
        <v/>
      </c>
    </row>
    <row r="26">
      <c r="A26">
        <f>IF(Categorias!$B$13="","",Categorias!$B$13)</f>
        <v/>
      </c>
      <c r="B26">
        <f>IF(A26="","",Categorias!$C$13)</f>
        <v/>
      </c>
      <c r="C26">
        <f>IF(B26="Despesa",SUMIFS(L_VALOR,L_TIPO,"Despesa",L_DATA,"&gt;="&amp;F_INI,L_DATA,"&lt;="&amp;F_FIM,L_CONTA,F_CONTA,L_TIT,F_TIT,L_EXCL,"",L_CAT,A26),0)</f>
        <v/>
      </c>
      <c r="D26">
        <f>IF(B26="Despesa",SUMIFS(L_VALOR,L_TIPO,"Despesa",L_DATA,"&gt;="&amp;F_INI_ANT,L_DATA,"&lt;="&amp;F_FIM_ANT,L_CONTA,F_CONTA,L_TIT,F_TIT,L_EXCL,"",L_CAT,A26),0)</f>
        <v/>
      </c>
      <c r="E26">
        <f>IF(C26&gt;0.004,C26+ROW()/10^7,0)</f>
        <v/>
      </c>
      <c r="F26">
        <f>C26-D26</f>
        <v/>
      </c>
      <c r="G26">
        <f>IF(F26&gt;0.004,F26+ROW()/10^7,0)</f>
        <v/>
      </c>
    </row>
    <row r="27">
      <c r="A27">
        <f>IF(Categorias!$B$14="","",Categorias!$B$14)</f>
        <v/>
      </c>
      <c r="B27">
        <f>IF(A27="","",Categorias!$C$14)</f>
        <v/>
      </c>
      <c r="C27">
        <f>IF(B27="Despesa",SUMIFS(L_VALOR,L_TIPO,"Despesa",L_DATA,"&gt;="&amp;F_INI,L_DATA,"&lt;="&amp;F_FIM,L_CONTA,F_CONTA,L_TIT,F_TIT,L_EXCL,"",L_CAT,A27),0)</f>
        <v/>
      </c>
      <c r="D27">
        <f>IF(B27="Despesa",SUMIFS(L_VALOR,L_TIPO,"Despesa",L_DATA,"&gt;="&amp;F_INI_ANT,L_DATA,"&lt;="&amp;F_FIM_ANT,L_CONTA,F_CONTA,L_TIT,F_TIT,L_EXCL,"",L_CAT,A27),0)</f>
        <v/>
      </c>
      <c r="E27">
        <f>IF(C27&gt;0.004,C27+ROW()/10^7,0)</f>
        <v/>
      </c>
      <c r="F27">
        <f>C27-D27</f>
        <v/>
      </c>
      <c r="G27">
        <f>IF(F27&gt;0.004,F27+ROW()/10^7,0)</f>
        <v/>
      </c>
    </row>
    <row r="28">
      <c r="A28">
        <f>IF(Categorias!$B$15="","",Categorias!$B$15)</f>
        <v/>
      </c>
      <c r="B28">
        <f>IF(A28="","",Categorias!$C$15)</f>
        <v/>
      </c>
      <c r="C28">
        <f>IF(B28="Despesa",SUMIFS(L_VALOR,L_TIPO,"Despesa",L_DATA,"&gt;="&amp;F_INI,L_DATA,"&lt;="&amp;F_FIM,L_CONTA,F_CONTA,L_TIT,F_TIT,L_EXCL,"",L_CAT,A28),0)</f>
        <v/>
      </c>
      <c r="D28">
        <f>IF(B28="Despesa",SUMIFS(L_VALOR,L_TIPO,"Despesa",L_DATA,"&gt;="&amp;F_INI_ANT,L_DATA,"&lt;="&amp;F_FIM_ANT,L_CONTA,F_CONTA,L_TIT,F_TIT,L_EXCL,"",L_CAT,A28),0)</f>
        <v/>
      </c>
      <c r="E28">
        <f>IF(C28&gt;0.004,C28+ROW()/10^7,0)</f>
        <v/>
      </c>
      <c r="F28">
        <f>C28-D28</f>
        <v/>
      </c>
      <c r="G28">
        <f>IF(F28&gt;0.004,F28+ROW()/10^7,0)</f>
        <v/>
      </c>
    </row>
    <row r="29">
      <c r="A29">
        <f>IF(Categorias!$B$16="","",Categorias!$B$16)</f>
        <v/>
      </c>
      <c r="B29">
        <f>IF(A29="","",Categorias!$C$16)</f>
        <v/>
      </c>
      <c r="C29">
        <f>IF(B29="Despesa",SUMIFS(L_VALOR,L_TIPO,"Despesa",L_DATA,"&gt;="&amp;F_INI,L_DATA,"&lt;="&amp;F_FIM,L_CONTA,F_CONTA,L_TIT,F_TIT,L_EXCL,"",L_CAT,A29),0)</f>
        <v/>
      </c>
      <c r="D29">
        <f>IF(B29="Despesa",SUMIFS(L_VALOR,L_TIPO,"Despesa",L_DATA,"&gt;="&amp;F_INI_ANT,L_DATA,"&lt;="&amp;F_FIM_ANT,L_CONTA,F_CONTA,L_TIT,F_TIT,L_EXCL,"",L_CAT,A29),0)</f>
        <v/>
      </c>
      <c r="E29">
        <f>IF(C29&gt;0.004,C29+ROW()/10^7,0)</f>
        <v/>
      </c>
      <c r="F29">
        <f>C29-D29</f>
        <v/>
      </c>
      <c r="G29">
        <f>IF(F29&gt;0.004,F29+ROW()/10^7,0)</f>
        <v/>
      </c>
    </row>
    <row r="30">
      <c r="A30">
        <f>IF(Categorias!$B$17="","",Categorias!$B$17)</f>
        <v/>
      </c>
      <c r="B30">
        <f>IF(A30="","",Categorias!$C$17)</f>
        <v/>
      </c>
      <c r="C30">
        <f>IF(B30="Despesa",SUMIFS(L_VALOR,L_TIPO,"Despesa",L_DATA,"&gt;="&amp;F_INI,L_DATA,"&lt;="&amp;F_FIM,L_CONTA,F_CONTA,L_TIT,F_TIT,L_EXCL,"",L_CAT,A30),0)</f>
        <v/>
      </c>
      <c r="D30">
        <f>IF(B30="Despesa",SUMIFS(L_VALOR,L_TIPO,"Despesa",L_DATA,"&gt;="&amp;F_INI_ANT,L_DATA,"&lt;="&amp;F_FIM_ANT,L_CONTA,F_CONTA,L_TIT,F_TIT,L_EXCL,"",L_CAT,A30),0)</f>
        <v/>
      </c>
      <c r="E30">
        <f>IF(C30&gt;0.004,C30+ROW()/10^7,0)</f>
        <v/>
      </c>
      <c r="F30">
        <f>C30-D30</f>
        <v/>
      </c>
      <c r="G30">
        <f>IF(F30&gt;0.004,F30+ROW()/10^7,0)</f>
        <v/>
      </c>
    </row>
    <row r="31">
      <c r="A31">
        <f>IF(Categorias!$B$18="","",Categorias!$B$18)</f>
        <v/>
      </c>
      <c r="B31">
        <f>IF(A31="","",Categorias!$C$18)</f>
        <v/>
      </c>
      <c r="C31">
        <f>IF(B31="Despesa",SUMIFS(L_VALOR,L_TIPO,"Despesa",L_DATA,"&gt;="&amp;F_INI,L_DATA,"&lt;="&amp;F_FIM,L_CONTA,F_CONTA,L_TIT,F_TIT,L_EXCL,"",L_CAT,A31),0)</f>
        <v/>
      </c>
      <c r="D31">
        <f>IF(B31="Despesa",SUMIFS(L_VALOR,L_TIPO,"Despesa",L_DATA,"&gt;="&amp;F_INI_ANT,L_DATA,"&lt;="&amp;F_FIM_ANT,L_CONTA,F_CONTA,L_TIT,F_TIT,L_EXCL,"",L_CAT,A31),0)</f>
        <v/>
      </c>
      <c r="E31">
        <f>IF(C31&gt;0.004,C31+ROW()/10^7,0)</f>
        <v/>
      </c>
      <c r="F31">
        <f>C31-D31</f>
        <v/>
      </c>
      <c r="G31">
        <f>IF(F31&gt;0.004,F31+ROW()/10^7,0)</f>
        <v/>
      </c>
    </row>
    <row r="32">
      <c r="A32">
        <f>IF(Categorias!$B$19="","",Categorias!$B$19)</f>
        <v/>
      </c>
      <c r="B32">
        <f>IF(A32="","",Categorias!$C$19)</f>
        <v/>
      </c>
      <c r="C32">
        <f>IF(B32="Despesa",SUMIFS(L_VALOR,L_TIPO,"Despesa",L_DATA,"&gt;="&amp;F_INI,L_DATA,"&lt;="&amp;F_FIM,L_CONTA,F_CONTA,L_TIT,F_TIT,L_EXCL,"",L_CAT,A32),0)</f>
        <v/>
      </c>
      <c r="D32">
        <f>IF(B32="Despesa",SUMIFS(L_VALOR,L_TIPO,"Despesa",L_DATA,"&gt;="&amp;F_INI_ANT,L_DATA,"&lt;="&amp;F_FIM_ANT,L_CONTA,F_CONTA,L_TIT,F_TIT,L_EXCL,"",L_CAT,A32),0)</f>
        <v/>
      </c>
      <c r="E32">
        <f>IF(C32&gt;0.004,C32+ROW()/10^7,0)</f>
        <v/>
      </c>
      <c r="F32">
        <f>C32-D32</f>
        <v/>
      </c>
      <c r="G32">
        <f>IF(F32&gt;0.004,F32+ROW()/10^7,0)</f>
        <v/>
      </c>
    </row>
    <row r="33">
      <c r="A33">
        <f>IF(Categorias!$B$20="","",Categorias!$B$20)</f>
        <v/>
      </c>
      <c r="B33">
        <f>IF(A33="","",Categorias!$C$20)</f>
        <v/>
      </c>
      <c r="C33">
        <f>IF(B33="Despesa",SUMIFS(L_VALOR,L_TIPO,"Despesa",L_DATA,"&gt;="&amp;F_INI,L_DATA,"&lt;="&amp;F_FIM,L_CONTA,F_CONTA,L_TIT,F_TIT,L_EXCL,"",L_CAT,A33),0)</f>
        <v/>
      </c>
      <c r="D33">
        <f>IF(B33="Despesa",SUMIFS(L_VALOR,L_TIPO,"Despesa",L_DATA,"&gt;="&amp;F_INI_ANT,L_DATA,"&lt;="&amp;F_FIM_ANT,L_CONTA,F_CONTA,L_TIT,F_TIT,L_EXCL,"",L_CAT,A33),0)</f>
        <v/>
      </c>
      <c r="E33">
        <f>IF(C33&gt;0.004,C33+ROW()/10^7,0)</f>
        <v/>
      </c>
      <c r="F33">
        <f>C33-D33</f>
        <v/>
      </c>
      <c r="G33">
        <f>IF(F33&gt;0.004,F33+ROW()/10^7,0)</f>
        <v/>
      </c>
    </row>
    <row r="34">
      <c r="A34">
        <f>IF(Categorias!$B$21="","",Categorias!$B$21)</f>
        <v/>
      </c>
      <c r="B34">
        <f>IF(A34="","",Categorias!$C$21)</f>
        <v/>
      </c>
      <c r="C34">
        <f>IF(B34="Despesa",SUMIFS(L_VALOR,L_TIPO,"Despesa",L_DATA,"&gt;="&amp;F_INI,L_DATA,"&lt;="&amp;F_FIM,L_CONTA,F_CONTA,L_TIT,F_TIT,L_EXCL,"",L_CAT,A34),0)</f>
        <v/>
      </c>
      <c r="D34">
        <f>IF(B34="Despesa",SUMIFS(L_VALOR,L_TIPO,"Despesa",L_DATA,"&gt;="&amp;F_INI_ANT,L_DATA,"&lt;="&amp;F_FIM_ANT,L_CONTA,F_CONTA,L_TIT,F_TIT,L_EXCL,"",L_CAT,A34),0)</f>
        <v/>
      </c>
      <c r="E34">
        <f>IF(C34&gt;0.004,C34+ROW()/10^7,0)</f>
        <v/>
      </c>
      <c r="F34">
        <f>C34-D34</f>
        <v/>
      </c>
      <c r="G34">
        <f>IF(F34&gt;0.004,F34+ROW()/10^7,0)</f>
        <v/>
      </c>
    </row>
    <row r="35">
      <c r="A35">
        <f>IF(Categorias!$B$22="","",Categorias!$B$22)</f>
        <v/>
      </c>
      <c r="B35">
        <f>IF(A35="","",Categorias!$C$22)</f>
        <v/>
      </c>
      <c r="C35">
        <f>IF(B35="Despesa",SUMIFS(L_VALOR,L_TIPO,"Despesa",L_DATA,"&gt;="&amp;F_INI,L_DATA,"&lt;="&amp;F_FIM,L_CONTA,F_CONTA,L_TIT,F_TIT,L_EXCL,"",L_CAT,A35),0)</f>
        <v/>
      </c>
      <c r="D35">
        <f>IF(B35="Despesa",SUMIFS(L_VALOR,L_TIPO,"Despesa",L_DATA,"&gt;="&amp;F_INI_ANT,L_DATA,"&lt;="&amp;F_FIM_ANT,L_CONTA,F_CONTA,L_TIT,F_TIT,L_EXCL,"",L_CAT,A35),0)</f>
        <v/>
      </c>
      <c r="E35">
        <f>IF(C35&gt;0.004,C35+ROW()/10^7,0)</f>
        <v/>
      </c>
      <c r="F35">
        <f>C35-D35</f>
        <v/>
      </c>
      <c r="G35">
        <f>IF(F35&gt;0.004,F35+ROW()/10^7,0)</f>
        <v/>
      </c>
    </row>
    <row r="36">
      <c r="A36">
        <f>IF(Categorias!$B$23="","",Categorias!$B$23)</f>
        <v/>
      </c>
      <c r="B36">
        <f>IF(A36="","",Categorias!$C$23)</f>
        <v/>
      </c>
      <c r="C36">
        <f>IF(B36="Despesa",SUMIFS(L_VALOR,L_TIPO,"Despesa",L_DATA,"&gt;="&amp;F_INI,L_DATA,"&lt;="&amp;F_FIM,L_CONTA,F_CONTA,L_TIT,F_TIT,L_EXCL,"",L_CAT,A36),0)</f>
        <v/>
      </c>
      <c r="D36">
        <f>IF(B36="Despesa",SUMIFS(L_VALOR,L_TIPO,"Despesa",L_DATA,"&gt;="&amp;F_INI_ANT,L_DATA,"&lt;="&amp;F_FIM_ANT,L_CONTA,F_CONTA,L_TIT,F_TIT,L_EXCL,"",L_CAT,A36),0)</f>
        <v/>
      </c>
      <c r="E36">
        <f>IF(C36&gt;0.004,C36+ROW()/10^7,0)</f>
        <v/>
      </c>
      <c r="F36">
        <f>C36-D36</f>
        <v/>
      </c>
      <c r="G36">
        <f>IF(F36&gt;0.004,F36+ROW()/10^7,0)</f>
        <v/>
      </c>
    </row>
    <row r="37">
      <c r="A37">
        <f>IF(Categorias!$B$24="","",Categorias!$B$24)</f>
        <v/>
      </c>
      <c r="B37">
        <f>IF(A37="","",Categorias!$C$24)</f>
        <v/>
      </c>
      <c r="C37">
        <f>IF(B37="Despesa",SUMIFS(L_VALOR,L_TIPO,"Despesa",L_DATA,"&gt;="&amp;F_INI,L_DATA,"&lt;="&amp;F_FIM,L_CONTA,F_CONTA,L_TIT,F_TIT,L_EXCL,"",L_CAT,A37),0)</f>
        <v/>
      </c>
      <c r="D37">
        <f>IF(B37="Despesa",SUMIFS(L_VALOR,L_TIPO,"Despesa",L_DATA,"&gt;="&amp;F_INI_ANT,L_DATA,"&lt;="&amp;F_FIM_ANT,L_CONTA,F_CONTA,L_TIT,F_TIT,L_EXCL,"",L_CAT,A37),0)</f>
        <v/>
      </c>
      <c r="E37">
        <f>IF(C37&gt;0.004,C37+ROW()/10^7,0)</f>
        <v/>
      </c>
      <c r="F37">
        <f>C37-D37</f>
        <v/>
      </c>
      <c r="G37">
        <f>IF(F37&gt;0.004,F37+ROW()/10^7,0)</f>
        <v/>
      </c>
    </row>
    <row r="38">
      <c r="A38">
        <f>IF(Categorias!$B$25="","",Categorias!$B$25)</f>
        <v/>
      </c>
      <c r="B38">
        <f>IF(A38="","",Categorias!$C$25)</f>
        <v/>
      </c>
      <c r="C38">
        <f>IF(B38="Despesa",SUMIFS(L_VALOR,L_TIPO,"Despesa",L_DATA,"&gt;="&amp;F_INI,L_DATA,"&lt;="&amp;F_FIM,L_CONTA,F_CONTA,L_TIT,F_TIT,L_EXCL,"",L_CAT,A38),0)</f>
        <v/>
      </c>
      <c r="D38">
        <f>IF(B38="Despesa",SUMIFS(L_VALOR,L_TIPO,"Despesa",L_DATA,"&gt;="&amp;F_INI_ANT,L_DATA,"&lt;="&amp;F_FIM_ANT,L_CONTA,F_CONTA,L_TIT,F_TIT,L_EXCL,"",L_CAT,A38),0)</f>
        <v/>
      </c>
      <c r="E38">
        <f>IF(C38&gt;0.004,C38+ROW()/10^7,0)</f>
        <v/>
      </c>
      <c r="F38">
        <f>C38-D38</f>
        <v/>
      </c>
      <c r="G38">
        <f>IF(F38&gt;0.004,F38+ROW()/10^7,0)</f>
        <v/>
      </c>
    </row>
    <row r="39">
      <c r="A39">
        <f>IF(Categorias!$B$26="","",Categorias!$B$26)</f>
        <v/>
      </c>
      <c r="B39">
        <f>IF(A39="","",Categorias!$C$26)</f>
        <v/>
      </c>
      <c r="C39">
        <f>IF(B39="Despesa",SUMIFS(L_VALOR,L_TIPO,"Despesa",L_DATA,"&gt;="&amp;F_INI,L_DATA,"&lt;="&amp;F_FIM,L_CONTA,F_CONTA,L_TIT,F_TIT,L_EXCL,"",L_CAT,A39),0)</f>
        <v/>
      </c>
      <c r="D39">
        <f>IF(B39="Despesa",SUMIFS(L_VALOR,L_TIPO,"Despesa",L_DATA,"&gt;="&amp;F_INI_ANT,L_DATA,"&lt;="&amp;F_FIM_ANT,L_CONTA,F_CONTA,L_TIT,F_TIT,L_EXCL,"",L_CAT,A39),0)</f>
        <v/>
      </c>
      <c r="E39">
        <f>IF(C39&gt;0.004,C39+ROW()/10^7,0)</f>
        <v/>
      </c>
      <c r="F39">
        <f>C39-D39</f>
        <v/>
      </c>
      <c r="G39">
        <f>IF(F39&gt;0.004,F39+ROW()/10^7,0)</f>
        <v/>
      </c>
    </row>
    <row r="40">
      <c r="A40">
        <f>IF(Categorias!$B$27="","",Categorias!$B$27)</f>
        <v/>
      </c>
      <c r="B40">
        <f>IF(A40="","",Categorias!$C$27)</f>
        <v/>
      </c>
      <c r="C40">
        <f>IF(B40="Despesa",SUMIFS(L_VALOR,L_TIPO,"Despesa",L_DATA,"&gt;="&amp;F_INI,L_DATA,"&lt;="&amp;F_FIM,L_CONTA,F_CONTA,L_TIT,F_TIT,L_EXCL,"",L_CAT,A40),0)</f>
        <v/>
      </c>
      <c r="D40">
        <f>IF(B40="Despesa",SUMIFS(L_VALOR,L_TIPO,"Despesa",L_DATA,"&gt;="&amp;F_INI_ANT,L_DATA,"&lt;="&amp;F_FIM_ANT,L_CONTA,F_CONTA,L_TIT,F_TIT,L_EXCL,"",L_CAT,A40),0)</f>
        <v/>
      </c>
      <c r="E40">
        <f>IF(C40&gt;0.004,C40+ROW()/10^7,0)</f>
        <v/>
      </c>
      <c r="F40">
        <f>C40-D40</f>
        <v/>
      </c>
      <c r="G40">
        <f>IF(F40&gt;0.004,F40+ROW()/10^7,0)</f>
        <v/>
      </c>
    </row>
    <row r="41">
      <c r="A41">
        <f>IF(Categorias!$B$28="","",Categorias!$B$28)</f>
        <v/>
      </c>
      <c r="B41">
        <f>IF(A41="","",Categorias!$C$28)</f>
        <v/>
      </c>
      <c r="C41">
        <f>IF(B41="Despesa",SUMIFS(L_VALOR,L_TIPO,"Despesa",L_DATA,"&gt;="&amp;F_INI,L_DATA,"&lt;="&amp;F_FIM,L_CONTA,F_CONTA,L_TIT,F_TIT,L_EXCL,"",L_CAT,A41),0)</f>
        <v/>
      </c>
      <c r="D41">
        <f>IF(B41="Despesa",SUMIFS(L_VALOR,L_TIPO,"Despesa",L_DATA,"&gt;="&amp;F_INI_ANT,L_DATA,"&lt;="&amp;F_FIM_ANT,L_CONTA,F_CONTA,L_TIT,F_TIT,L_EXCL,"",L_CAT,A41),0)</f>
        <v/>
      </c>
      <c r="E41">
        <f>IF(C41&gt;0.004,C41+ROW()/10^7,0)</f>
        <v/>
      </c>
      <c r="F41">
        <f>C41-D41</f>
        <v/>
      </c>
      <c r="G41">
        <f>IF(F41&gt;0.004,F41+ROW()/10^7,0)</f>
        <v/>
      </c>
    </row>
    <row r="42">
      <c r="A42">
        <f>IF(Categorias!$B$29="","",Categorias!$B$29)</f>
        <v/>
      </c>
      <c r="B42">
        <f>IF(A42="","",Categorias!$C$29)</f>
        <v/>
      </c>
      <c r="C42">
        <f>IF(B42="Despesa",SUMIFS(L_VALOR,L_TIPO,"Despesa",L_DATA,"&gt;="&amp;F_INI,L_DATA,"&lt;="&amp;F_FIM,L_CONTA,F_CONTA,L_TIT,F_TIT,L_EXCL,"",L_CAT,A42),0)</f>
        <v/>
      </c>
      <c r="D42">
        <f>IF(B42="Despesa",SUMIFS(L_VALOR,L_TIPO,"Despesa",L_DATA,"&gt;="&amp;F_INI_ANT,L_DATA,"&lt;="&amp;F_FIM_ANT,L_CONTA,F_CONTA,L_TIT,F_TIT,L_EXCL,"",L_CAT,A42),0)</f>
        <v/>
      </c>
      <c r="E42">
        <f>IF(C42&gt;0.004,C42+ROW()/10^7,0)</f>
        <v/>
      </c>
      <c r="F42">
        <f>C42-D42</f>
        <v/>
      </c>
      <c r="G42">
        <f>IF(F42&gt;0.004,F42+ROW()/10^7,0)</f>
        <v/>
      </c>
    </row>
    <row r="43">
      <c r="A43">
        <f>IF(Categorias!$B$30="","",Categorias!$B$30)</f>
        <v/>
      </c>
      <c r="B43">
        <f>IF(A43="","",Categorias!$C$30)</f>
        <v/>
      </c>
      <c r="C43">
        <f>IF(B43="Despesa",SUMIFS(L_VALOR,L_TIPO,"Despesa",L_DATA,"&gt;="&amp;F_INI,L_DATA,"&lt;="&amp;F_FIM,L_CONTA,F_CONTA,L_TIT,F_TIT,L_EXCL,"",L_CAT,A43),0)</f>
        <v/>
      </c>
      <c r="D43">
        <f>IF(B43="Despesa",SUMIFS(L_VALOR,L_TIPO,"Despesa",L_DATA,"&gt;="&amp;F_INI_ANT,L_DATA,"&lt;="&amp;F_FIM_ANT,L_CONTA,F_CONTA,L_TIT,F_TIT,L_EXCL,"",L_CAT,A43),0)</f>
        <v/>
      </c>
      <c r="E43">
        <f>IF(C43&gt;0.004,C43+ROW()/10^7,0)</f>
        <v/>
      </c>
      <c r="F43">
        <f>C43-D43</f>
        <v/>
      </c>
      <c r="G43">
        <f>IF(F43&gt;0.004,F43+ROW()/10^7,0)</f>
        <v/>
      </c>
    </row>
    <row r="44">
      <c r="A44">
        <f>IF(Categorias!$B$31="","",Categorias!$B$31)</f>
        <v/>
      </c>
      <c r="B44">
        <f>IF(A44="","",Categorias!$C$31)</f>
        <v/>
      </c>
      <c r="C44">
        <f>IF(B44="Despesa",SUMIFS(L_VALOR,L_TIPO,"Despesa",L_DATA,"&gt;="&amp;F_INI,L_DATA,"&lt;="&amp;F_FIM,L_CONTA,F_CONTA,L_TIT,F_TIT,L_EXCL,"",L_CAT,A44),0)</f>
        <v/>
      </c>
      <c r="D44">
        <f>IF(B44="Despesa",SUMIFS(L_VALOR,L_TIPO,"Despesa",L_DATA,"&gt;="&amp;F_INI_ANT,L_DATA,"&lt;="&amp;F_FIM_ANT,L_CONTA,F_CONTA,L_TIT,F_TIT,L_EXCL,"",L_CAT,A44),0)</f>
        <v/>
      </c>
      <c r="E44">
        <f>IF(C44&gt;0.004,C44+ROW()/10^7,0)</f>
        <v/>
      </c>
      <c r="F44">
        <f>C44-D44</f>
        <v/>
      </c>
      <c r="G44">
        <f>IF(F44&gt;0.004,F44+ROW()/10^7,0)</f>
        <v/>
      </c>
    </row>
    <row r="45">
      <c r="A45">
        <f>IF(Categorias!$B$32="","",Categorias!$B$32)</f>
        <v/>
      </c>
      <c r="B45">
        <f>IF(A45="","",Categorias!$C$32)</f>
        <v/>
      </c>
      <c r="C45">
        <f>IF(B45="Despesa",SUMIFS(L_VALOR,L_TIPO,"Despesa",L_DATA,"&gt;="&amp;F_INI,L_DATA,"&lt;="&amp;F_FIM,L_CONTA,F_CONTA,L_TIT,F_TIT,L_EXCL,"",L_CAT,A45),0)</f>
        <v/>
      </c>
      <c r="D45">
        <f>IF(B45="Despesa",SUMIFS(L_VALOR,L_TIPO,"Despesa",L_DATA,"&gt;="&amp;F_INI_ANT,L_DATA,"&lt;="&amp;F_FIM_ANT,L_CONTA,F_CONTA,L_TIT,F_TIT,L_EXCL,"",L_CAT,A45),0)</f>
        <v/>
      </c>
      <c r="E45">
        <f>IF(C45&gt;0.004,C45+ROW()/10^7,0)</f>
        <v/>
      </c>
      <c r="F45">
        <f>C45-D45</f>
        <v/>
      </c>
      <c r="G45">
        <f>IF(F45&gt;0.004,F45+ROW()/10^7,0)</f>
        <v/>
      </c>
    </row>
    <row r="46">
      <c r="A46">
        <f>IF(Categorias!$B$33="","",Categorias!$B$33)</f>
        <v/>
      </c>
      <c r="B46">
        <f>IF(A46="","",Categorias!$C$33)</f>
        <v/>
      </c>
      <c r="C46">
        <f>IF(B46="Despesa",SUMIFS(L_VALOR,L_TIPO,"Despesa",L_DATA,"&gt;="&amp;F_INI,L_DATA,"&lt;="&amp;F_FIM,L_CONTA,F_CONTA,L_TIT,F_TIT,L_EXCL,"",L_CAT,A46),0)</f>
        <v/>
      </c>
      <c r="D46">
        <f>IF(B46="Despesa",SUMIFS(L_VALOR,L_TIPO,"Despesa",L_DATA,"&gt;="&amp;F_INI_ANT,L_DATA,"&lt;="&amp;F_FIM_ANT,L_CONTA,F_CONTA,L_TIT,F_TIT,L_EXCL,"",L_CAT,A46),0)</f>
        <v/>
      </c>
      <c r="E46">
        <f>IF(C46&gt;0.004,C46+ROW()/10^7,0)</f>
        <v/>
      </c>
      <c r="F46">
        <f>C46-D46</f>
        <v/>
      </c>
      <c r="G46">
        <f>IF(F46&gt;0.004,F46+ROW()/10^7,0)</f>
        <v/>
      </c>
    </row>
    <row r="47">
      <c r="A47">
        <f>IF(Categorias!$B$34="","",Categorias!$B$34)</f>
        <v/>
      </c>
      <c r="B47">
        <f>IF(A47="","",Categorias!$C$34)</f>
        <v/>
      </c>
      <c r="C47">
        <f>IF(B47="Despesa",SUMIFS(L_VALOR,L_TIPO,"Despesa",L_DATA,"&gt;="&amp;F_INI,L_DATA,"&lt;="&amp;F_FIM,L_CONTA,F_CONTA,L_TIT,F_TIT,L_EXCL,"",L_CAT,A47),0)</f>
        <v/>
      </c>
      <c r="D47">
        <f>IF(B47="Despesa",SUMIFS(L_VALOR,L_TIPO,"Despesa",L_DATA,"&gt;="&amp;F_INI_ANT,L_DATA,"&lt;="&amp;F_FIM_ANT,L_CONTA,F_CONTA,L_TIT,F_TIT,L_EXCL,"",L_CAT,A47),0)</f>
        <v/>
      </c>
      <c r="E47">
        <f>IF(C47&gt;0.004,C47+ROW()/10^7,0)</f>
        <v/>
      </c>
      <c r="F47">
        <f>C47-D47</f>
        <v/>
      </c>
      <c r="G47">
        <f>IF(F47&gt;0.004,F47+ROW()/10^7,0)</f>
        <v/>
      </c>
    </row>
    <row r="48">
      <c r="A48">
        <f>IF(Categorias!$B$35="","",Categorias!$B$35)</f>
        <v/>
      </c>
      <c r="B48">
        <f>IF(A48="","",Categorias!$C$35)</f>
        <v/>
      </c>
      <c r="C48">
        <f>IF(B48="Despesa",SUMIFS(L_VALOR,L_TIPO,"Despesa",L_DATA,"&gt;="&amp;F_INI,L_DATA,"&lt;="&amp;F_FIM,L_CONTA,F_CONTA,L_TIT,F_TIT,L_EXCL,"",L_CAT,A48),0)</f>
        <v/>
      </c>
      <c r="D48">
        <f>IF(B48="Despesa",SUMIFS(L_VALOR,L_TIPO,"Despesa",L_DATA,"&gt;="&amp;F_INI_ANT,L_DATA,"&lt;="&amp;F_FIM_ANT,L_CONTA,F_CONTA,L_TIT,F_TIT,L_EXCL,"",L_CAT,A48),0)</f>
        <v/>
      </c>
      <c r="E48">
        <f>IF(C48&gt;0.004,C48+ROW()/10^7,0)</f>
        <v/>
      </c>
      <c r="F48">
        <f>C48-D48</f>
        <v/>
      </c>
      <c r="G48">
        <f>IF(F48&gt;0.004,F48+ROW()/10^7,0)</f>
        <v/>
      </c>
    </row>
    <row r="49">
      <c r="A49">
        <f>IF(Categorias!$B$36="","",Categorias!$B$36)</f>
        <v/>
      </c>
      <c r="B49">
        <f>IF(A49="","",Categorias!$C$36)</f>
        <v/>
      </c>
      <c r="C49">
        <f>IF(B49="Despesa",SUMIFS(L_VALOR,L_TIPO,"Despesa",L_DATA,"&gt;="&amp;F_INI,L_DATA,"&lt;="&amp;F_FIM,L_CONTA,F_CONTA,L_TIT,F_TIT,L_EXCL,"",L_CAT,A49),0)</f>
        <v/>
      </c>
      <c r="D49">
        <f>IF(B49="Despesa",SUMIFS(L_VALOR,L_TIPO,"Despesa",L_DATA,"&gt;="&amp;F_INI_ANT,L_DATA,"&lt;="&amp;F_FIM_ANT,L_CONTA,F_CONTA,L_TIT,F_TIT,L_EXCL,"",L_CAT,A49),0)</f>
        <v/>
      </c>
      <c r="E49">
        <f>IF(C49&gt;0.004,C49+ROW()/10^7,0)</f>
        <v/>
      </c>
      <c r="F49">
        <f>C49-D49</f>
        <v/>
      </c>
      <c r="G49">
        <f>IF(F49&gt;0.004,F49+ROW()/10^7,0)</f>
        <v/>
      </c>
    </row>
    <row r="50">
      <c r="A50">
        <f>IF(Categorias!$B$37="","",Categorias!$B$37)</f>
        <v/>
      </c>
      <c r="B50">
        <f>IF(A50="","",Categorias!$C$37)</f>
        <v/>
      </c>
      <c r="C50">
        <f>IF(B50="Despesa",SUMIFS(L_VALOR,L_TIPO,"Despesa",L_DATA,"&gt;="&amp;F_INI,L_DATA,"&lt;="&amp;F_FIM,L_CONTA,F_CONTA,L_TIT,F_TIT,L_EXCL,"",L_CAT,A50),0)</f>
        <v/>
      </c>
      <c r="D50">
        <f>IF(B50="Despesa",SUMIFS(L_VALOR,L_TIPO,"Despesa",L_DATA,"&gt;="&amp;F_INI_ANT,L_DATA,"&lt;="&amp;F_FIM_ANT,L_CONTA,F_CONTA,L_TIT,F_TIT,L_EXCL,"",L_CAT,A50),0)</f>
        <v/>
      </c>
      <c r="E50">
        <f>IF(C50&gt;0.004,C50+ROW()/10^7,0)</f>
        <v/>
      </c>
      <c r="F50">
        <f>C50-D50</f>
        <v/>
      </c>
      <c r="G50">
        <f>IF(F50&gt;0.004,F50+ROW()/10^7,0)</f>
        <v/>
      </c>
    </row>
    <row r="51">
      <c r="A51">
        <f>IF(Categorias!$B$38="","",Categorias!$B$38)</f>
        <v/>
      </c>
      <c r="B51">
        <f>IF(A51="","",Categorias!$C$38)</f>
        <v/>
      </c>
      <c r="C51">
        <f>IF(B51="Despesa",SUMIFS(L_VALOR,L_TIPO,"Despesa",L_DATA,"&gt;="&amp;F_INI,L_DATA,"&lt;="&amp;F_FIM,L_CONTA,F_CONTA,L_TIT,F_TIT,L_EXCL,"",L_CAT,A51),0)</f>
        <v/>
      </c>
      <c r="D51">
        <f>IF(B51="Despesa",SUMIFS(L_VALOR,L_TIPO,"Despesa",L_DATA,"&gt;="&amp;F_INI_ANT,L_DATA,"&lt;="&amp;F_FIM_ANT,L_CONTA,F_CONTA,L_TIT,F_TIT,L_EXCL,"",L_CAT,A51),0)</f>
        <v/>
      </c>
      <c r="E51">
        <f>IF(C51&gt;0.004,C51+ROW()/10^7,0)</f>
        <v/>
      </c>
      <c r="F51">
        <f>C51-D51</f>
        <v/>
      </c>
      <c r="G51">
        <f>IF(F51&gt;0.004,F51+ROW()/10^7,0)</f>
        <v/>
      </c>
    </row>
    <row r="52">
      <c r="A52">
        <f>IF(Categorias!$B$39="","",Categorias!$B$39)</f>
        <v/>
      </c>
      <c r="B52">
        <f>IF(A52="","",Categorias!$C$39)</f>
        <v/>
      </c>
      <c r="C52">
        <f>IF(B52="Despesa",SUMIFS(L_VALOR,L_TIPO,"Despesa",L_DATA,"&gt;="&amp;F_INI,L_DATA,"&lt;="&amp;F_FIM,L_CONTA,F_CONTA,L_TIT,F_TIT,L_EXCL,"",L_CAT,A52),0)</f>
        <v/>
      </c>
      <c r="D52">
        <f>IF(B52="Despesa",SUMIFS(L_VALOR,L_TIPO,"Despesa",L_DATA,"&gt;="&amp;F_INI_ANT,L_DATA,"&lt;="&amp;F_FIM_ANT,L_CONTA,F_CONTA,L_TIT,F_TIT,L_EXCL,"",L_CAT,A52),0)</f>
        <v/>
      </c>
      <c r="E52">
        <f>IF(C52&gt;0.004,C52+ROW()/10^7,0)</f>
        <v/>
      </c>
      <c r="F52">
        <f>C52-D52</f>
        <v/>
      </c>
      <c r="G52">
        <f>IF(F52&gt;0.004,F52+ROW()/10^7,0)</f>
        <v/>
      </c>
    </row>
    <row r="53">
      <c r="A53">
        <f>IF(Categorias!$B$40="","",Categorias!$B$40)</f>
        <v/>
      </c>
      <c r="B53">
        <f>IF(A53="","",Categorias!$C$40)</f>
        <v/>
      </c>
      <c r="C53">
        <f>IF(B53="Despesa",SUMIFS(L_VALOR,L_TIPO,"Despesa",L_DATA,"&gt;="&amp;F_INI,L_DATA,"&lt;="&amp;F_FIM,L_CONTA,F_CONTA,L_TIT,F_TIT,L_EXCL,"",L_CAT,A53),0)</f>
        <v/>
      </c>
      <c r="D53">
        <f>IF(B53="Despesa",SUMIFS(L_VALOR,L_TIPO,"Despesa",L_DATA,"&gt;="&amp;F_INI_ANT,L_DATA,"&lt;="&amp;F_FIM_ANT,L_CONTA,F_CONTA,L_TIT,F_TIT,L_EXCL,"",L_CAT,A53),0)</f>
        <v/>
      </c>
      <c r="E53">
        <f>IF(C53&gt;0.004,C53+ROW()/10^7,0)</f>
        <v/>
      </c>
      <c r="F53">
        <f>C53-D53</f>
        <v/>
      </c>
      <c r="G53">
        <f>IF(F53&gt;0.004,F53+ROW()/10^7,0)</f>
        <v/>
      </c>
    </row>
    <row r="54">
      <c r="A54">
        <f>IF(Categorias!$B$41="","",Categorias!$B$41)</f>
        <v/>
      </c>
      <c r="B54">
        <f>IF(A54="","",Categorias!$C$41)</f>
        <v/>
      </c>
      <c r="C54">
        <f>IF(B54="Despesa",SUMIFS(L_VALOR,L_TIPO,"Despesa",L_DATA,"&gt;="&amp;F_INI,L_DATA,"&lt;="&amp;F_FIM,L_CONTA,F_CONTA,L_TIT,F_TIT,L_EXCL,"",L_CAT,A54),0)</f>
        <v/>
      </c>
      <c r="D54">
        <f>IF(B54="Despesa",SUMIFS(L_VALOR,L_TIPO,"Despesa",L_DATA,"&gt;="&amp;F_INI_ANT,L_DATA,"&lt;="&amp;F_FIM_ANT,L_CONTA,F_CONTA,L_TIT,F_TIT,L_EXCL,"",L_CAT,A54),0)</f>
        <v/>
      </c>
      <c r="E54">
        <f>IF(C54&gt;0.004,C54+ROW()/10^7,0)</f>
        <v/>
      </c>
      <c r="F54">
        <f>C54-D54</f>
        <v/>
      </c>
      <c r="G54">
        <f>IF(F54&gt;0.004,F54+ROW()/10^7,0)</f>
        <v/>
      </c>
    </row>
    <row r="55">
      <c r="A55" t="inlineStr">
        <is>
          <t>Sem categoria</t>
        </is>
      </c>
      <c r="B55" t="inlineStr">
        <is>
          <t>Despesa</t>
        </is>
      </c>
      <c r="C55">
        <f>MAX(0,ROUND($E$3-SUM(C15:C54),2))</f>
        <v/>
      </c>
      <c r="D55">
        <f>MAX(0,ROUND($E$5-SUM(D15:D54),2))</f>
        <v/>
      </c>
      <c r="E55">
        <f>IF(C55&gt;0.004,C55+ROW()/10^7,0)</f>
        <v/>
      </c>
      <c r="F55">
        <f>C55-D55</f>
        <v/>
      </c>
      <c r="G55">
        <f>IF(F55&gt;0.004,F55+ROW()/10^7,0)</f>
        <v/>
      </c>
    </row>
    <row r="59">
      <c r="A59" t="inlineStr">
        <is>
          <t>ORÇAMENTOS (mês filtrado)</t>
        </is>
      </c>
    </row>
    <row r="60">
      <c r="A60" t="inlineStr">
        <is>
          <t>categoria</t>
        </is>
      </c>
      <c r="B60" t="inlineStr">
        <is>
          <t>limite</t>
        </is>
      </c>
      <c r="C60" t="inlineStr">
        <is>
          <t>gasto</t>
        </is>
      </c>
      <c r="D60" t="inlineStr">
        <is>
          <t>pct_usado</t>
        </is>
      </c>
      <c r="E60" t="inlineStr">
        <is>
          <t>chave</t>
        </is>
      </c>
      <c r="I60" t="inlineStr">
        <is>
          <t>rank</t>
        </is>
      </c>
      <c r="J60" t="inlineStr">
        <is>
          <t>chave</t>
        </is>
      </c>
      <c r="K60" t="inlineStr">
        <is>
          <t>idx</t>
        </is>
      </c>
      <c r="L60" t="inlineStr">
        <is>
          <t>categoria</t>
        </is>
      </c>
      <c r="M60" t="inlineStr">
        <is>
          <t>limite</t>
        </is>
      </c>
      <c r="N60" t="inlineStr">
        <is>
          <t>gasto</t>
        </is>
      </c>
      <c r="O60" t="inlineStr">
        <is>
          <t>pct_usado</t>
        </is>
      </c>
    </row>
    <row r="61">
      <c r="A61">
        <f>IF(Orçamentos!$B$2="","",Orçamentos!$B$2)</f>
        <v/>
      </c>
      <c r="B61">
        <f>IF(A61="",0,N(Orçamentos!$C$2))</f>
        <v/>
      </c>
      <c r="C61">
        <f>IF(A61="",0,SUMIFS(L_VALOR,L_TIPO,"Despesa",L_DATA,"&gt;="&amp;F_INI,L_DATA,"&lt;="&amp;F_FIM,L_CONTA,F_CONTA,L_TIT,F_TIT,L_EXCL,"",L_CAT,A61))</f>
        <v/>
      </c>
      <c r="D61">
        <f>IF(B61&gt;0,C61/B61,0)</f>
        <v/>
      </c>
      <c r="E61">
        <f>IF(AND(A61&lt;&gt;"",B61&gt;0),D61+ROW()/10^7,0)</f>
        <v/>
      </c>
      <c r="I61" t="n">
        <v>1</v>
      </c>
      <c r="J61">
        <f>LARGE($E$61:$E$80,I61)</f>
        <v/>
      </c>
      <c r="K61">
        <f>IF(J61&gt;0,MATCH(J61,$E$61:$E$80,0),0)</f>
        <v/>
      </c>
      <c r="L61">
        <f>IF(K61&gt;0,INDEX($A$61:$A$80,K61),"")</f>
        <v/>
      </c>
      <c r="M61">
        <f>IF(K61&gt;0,INDEX($B$61:$B$80,K61),0)</f>
        <v/>
      </c>
      <c r="N61">
        <f>IF(K61&gt;0,INDEX($C$61:$C$80,K61),0)</f>
        <v/>
      </c>
      <c r="O61">
        <f>IF(K61&gt;0,INDEX($D$61:$D$80,K61),0)</f>
        <v/>
      </c>
    </row>
    <row r="62">
      <c r="A62">
        <f>IF(Orçamentos!$B$3="","",Orçamentos!$B$3)</f>
        <v/>
      </c>
      <c r="B62">
        <f>IF(A62="",0,N(Orçamentos!$C$3))</f>
        <v/>
      </c>
      <c r="C62">
        <f>IF(A62="",0,SUMIFS(L_VALOR,L_TIPO,"Despesa",L_DATA,"&gt;="&amp;F_INI,L_DATA,"&lt;="&amp;F_FIM,L_CONTA,F_CONTA,L_TIT,F_TIT,L_EXCL,"",L_CAT,A62))</f>
        <v/>
      </c>
      <c r="D62">
        <f>IF(B62&gt;0,C62/B62,0)</f>
        <v/>
      </c>
      <c r="E62">
        <f>IF(AND(A62&lt;&gt;"",B62&gt;0),D62+ROW()/10^7,0)</f>
        <v/>
      </c>
      <c r="I62" t="n">
        <v>2</v>
      </c>
      <c r="J62">
        <f>LARGE($E$61:$E$80,I62)</f>
        <v/>
      </c>
      <c r="K62">
        <f>IF(J62&gt;0,MATCH(J62,$E$61:$E$80,0),0)</f>
        <v/>
      </c>
      <c r="L62">
        <f>IF(K62&gt;0,INDEX($A$61:$A$80,K62),"")</f>
        <v/>
      </c>
      <c r="M62">
        <f>IF(K62&gt;0,INDEX($B$61:$B$80,K62),0)</f>
        <v/>
      </c>
      <c r="N62">
        <f>IF(K62&gt;0,INDEX($C$61:$C$80,K62),0)</f>
        <v/>
      </c>
      <c r="O62">
        <f>IF(K62&gt;0,INDEX($D$61:$D$80,K62),0)</f>
        <v/>
      </c>
    </row>
    <row r="63">
      <c r="A63">
        <f>IF(Orçamentos!$B$4="","",Orçamentos!$B$4)</f>
        <v/>
      </c>
      <c r="B63">
        <f>IF(A63="",0,N(Orçamentos!$C$4))</f>
        <v/>
      </c>
      <c r="C63">
        <f>IF(A63="",0,SUMIFS(L_VALOR,L_TIPO,"Despesa",L_DATA,"&gt;="&amp;F_INI,L_DATA,"&lt;="&amp;F_FIM,L_CONTA,F_CONTA,L_TIT,F_TIT,L_EXCL,"",L_CAT,A63))</f>
        <v/>
      </c>
      <c r="D63">
        <f>IF(B63&gt;0,C63/B63,0)</f>
        <v/>
      </c>
      <c r="E63">
        <f>IF(AND(A63&lt;&gt;"",B63&gt;0),D63+ROW()/10^7,0)</f>
        <v/>
      </c>
      <c r="I63" t="n">
        <v>3</v>
      </c>
      <c r="J63">
        <f>LARGE($E$61:$E$80,I63)</f>
        <v/>
      </c>
      <c r="K63">
        <f>IF(J63&gt;0,MATCH(J63,$E$61:$E$80,0),0)</f>
        <v/>
      </c>
      <c r="L63">
        <f>IF(K63&gt;0,INDEX($A$61:$A$80,K63),"")</f>
        <v/>
      </c>
      <c r="M63">
        <f>IF(K63&gt;0,INDEX($B$61:$B$80,K63),0)</f>
        <v/>
      </c>
      <c r="N63">
        <f>IF(K63&gt;0,INDEX($C$61:$C$80,K63),0)</f>
        <v/>
      </c>
      <c r="O63">
        <f>IF(K63&gt;0,INDEX($D$61:$D$80,K63),0)</f>
        <v/>
      </c>
    </row>
    <row r="64">
      <c r="A64">
        <f>IF(Orçamentos!$B$5="","",Orçamentos!$B$5)</f>
        <v/>
      </c>
      <c r="B64">
        <f>IF(A64="",0,N(Orçamentos!$C$5))</f>
        <v/>
      </c>
      <c r="C64">
        <f>IF(A64="",0,SUMIFS(L_VALOR,L_TIPO,"Despesa",L_DATA,"&gt;="&amp;F_INI,L_DATA,"&lt;="&amp;F_FIM,L_CONTA,F_CONTA,L_TIT,F_TIT,L_EXCL,"",L_CAT,A64))</f>
        <v/>
      </c>
      <c r="D64">
        <f>IF(B64&gt;0,C64/B64,0)</f>
        <v/>
      </c>
      <c r="E64">
        <f>IF(AND(A64&lt;&gt;"",B64&gt;0),D64+ROW()/10^7,0)</f>
        <v/>
      </c>
      <c r="I64" t="n">
        <v>4</v>
      </c>
      <c r="J64">
        <f>LARGE($E$61:$E$80,I64)</f>
        <v/>
      </c>
      <c r="K64">
        <f>IF(J64&gt;0,MATCH(J64,$E$61:$E$80,0),0)</f>
        <v/>
      </c>
      <c r="L64">
        <f>IF(K64&gt;0,INDEX($A$61:$A$80,K64),"")</f>
        <v/>
      </c>
      <c r="M64">
        <f>IF(K64&gt;0,INDEX($B$61:$B$80,K64),0)</f>
        <v/>
      </c>
      <c r="N64">
        <f>IF(K64&gt;0,INDEX($C$61:$C$80,K64),0)</f>
        <v/>
      </c>
      <c r="O64">
        <f>IF(K64&gt;0,INDEX($D$61:$D$80,K64),0)</f>
        <v/>
      </c>
    </row>
    <row r="65">
      <c r="A65">
        <f>IF(Orçamentos!$B$6="","",Orçamentos!$B$6)</f>
        <v/>
      </c>
      <c r="B65">
        <f>IF(A65="",0,N(Orçamentos!$C$6))</f>
        <v/>
      </c>
      <c r="C65">
        <f>IF(A65="",0,SUMIFS(L_VALOR,L_TIPO,"Despesa",L_DATA,"&gt;="&amp;F_INI,L_DATA,"&lt;="&amp;F_FIM,L_CONTA,F_CONTA,L_TIT,F_TIT,L_EXCL,"",L_CAT,A65))</f>
        <v/>
      </c>
      <c r="D65">
        <f>IF(B65&gt;0,C65/B65,0)</f>
        <v/>
      </c>
      <c r="E65">
        <f>IF(AND(A65&lt;&gt;"",B65&gt;0),D65+ROW()/10^7,0)</f>
        <v/>
      </c>
      <c r="I65" t="n">
        <v>5</v>
      </c>
      <c r="J65">
        <f>LARGE($E$61:$E$80,I65)</f>
        <v/>
      </c>
      <c r="K65">
        <f>IF(J65&gt;0,MATCH(J65,$E$61:$E$80,0),0)</f>
        <v/>
      </c>
      <c r="L65">
        <f>IF(K65&gt;0,INDEX($A$61:$A$80,K65),"")</f>
        <v/>
      </c>
      <c r="M65">
        <f>IF(K65&gt;0,INDEX($B$61:$B$80,K65),0)</f>
        <v/>
      </c>
      <c r="N65">
        <f>IF(K65&gt;0,INDEX($C$61:$C$80,K65),0)</f>
        <v/>
      </c>
      <c r="O65">
        <f>IF(K65&gt;0,INDEX($D$61:$D$80,K65),0)</f>
        <v/>
      </c>
    </row>
    <row r="66">
      <c r="A66">
        <f>IF(Orçamentos!$B$7="","",Orçamentos!$B$7)</f>
        <v/>
      </c>
      <c r="B66">
        <f>IF(A66="",0,N(Orçamentos!$C$7))</f>
        <v/>
      </c>
      <c r="C66">
        <f>IF(A66="",0,SUMIFS(L_VALOR,L_TIPO,"Despesa",L_DATA,"&gt;="&amp;F_INI,L_DATA,"&lt;="&amp;F_FIM,L_CONTA,F_CONTA,L_TIT,F_TIT,L_EXCL,"",L_CAT,A66))</f>
        <v/>
      </c>
      <c r="D66">
        <f>IF(B66&gt;0,C66/B66,0)</f>
        <v/>
      </c>
      <c r="E66">
        <f>IF(AND(A66&lt;&gt;"",B66&gt;0),D66+ROW()/10^7,0)</f>
        <v/>
      </c>
      <c r="I66" t="n">
        <v>6</v>
      </c>
      <c r="J66">
        <f>LARGE($E$61:$E$80,I66)</f>
        <v/>
      </c>
      <c r="K66">
        <f>IF(J66&gt;0,MATCH(J66,$E$61:$E$80,0),0)</f>
        <v/>
      </c>
      <c r="L66">
        <f>IF(K66&gt;0,INDEX($A$61:$A$80,K66),"")</f>
        <v/>
      </c>
      <c r="M66">
        <f>IF(K66&gt;0,INDEX($B$61:$B$80,K66),0)</f>
        <v/>
      </c>
      <c r="N66">
        <f>IF(K66&gt;0,INDEX($C$61:$C$80,K66),0)</f>
        <v/>
      </c>
      <c r="O66">
        <f>IF(K66&gt;0,INDEX($D$61:$D$80,K66),0)</f>
        <v/>
      </c>
    </row>
    <row r="67">
      <c r="A67">
        <f>IF(Orçamentos!$B$8="","",Orçamentos!$B$8)</f>
        <v/>
      </c>
      <c r="B67">
        <f>IF(A67="",0,N(Orçamentos!$C$8))</f>
        <v/>
      </c>
      <c r="C67">
        <f>IF(A67="",0,SUMIFS(L_VALOR,L_TIPO,"Despesa",L_DATA,"&gt;="&amp;F_INI,L_DATA,"&lt;="&amp;F_FIM,L_CONTA,F_CONTA,L_TIT,F_TIT,L_EXCL,"",L_CAT,A67))</f>
        <v/>
      </c>
      <c r="D67">
        <f>IF(B67&gt;0,C67/B67,0)</f>
        <v/>
      </c>
      <c r="E67">
        <f>IF(AND(A67&lt;&gt;"",B67&gt;0),D67+ROW()/10^7,0)</f>
        <v/>
      </c>
      <c r="I67" t="n">
        <v>7</v>
      </c>
      <c r="J67">
        <f>LARGE($E$61:$E$80,I67)</f>
        <v/>
      </c>
      <c r="K67">
        <f>IF(J67&gt;0,MATCH(J67,$E$61:$E$80,0),0)</f>
        <v/>
      </c>
      <c r="L67">
        <f>IF(K67&gt;0,INDEX($A$61:$A$80,K67),"")</f>
        <v/>
      </c>
      <c r="M67">
        <f>IF(K67&gt;0,INDEX($B$61:$B$80,K67),0)</f>
        <v/>
      </c>
      <c r="N67">
        <f>IF(K67&gt;0,INDEX($C$61:$C$80,K67),0)</f>
        <v/>
      </c>
      <c r="O67">
        <f>IF(K67&gt;0,INDEX($D$61:$D$80,K67),0)</f>
        <v/>
      </c>
    </row>
    <row r="68">
      <c r="A68">
        <f>IF(Orçamentos!$B$9="","",Orçamentos!$B$9)</f>
        <v/>
      </c>
      <c r="B68">
        <f>IF(A68="",0,N(Orçamentos!$C$9))</f>
        <v/>
      </c>
      <c r="C68">
        <f>IF(A68="",0,SUMIFS(L_VALOR,L_TIPO,"Despesa",L_DATA,"&gt;="&amp;F_INI,L_DATA,"&lt;="&amp;F_FIM,L_CONTA,F_CONTA,L_TIT,F_TIT,L_EXCL,"",L_CAT,A68))</f>
        <v/>
      </c>
      <c r="D68">
        <f>IF(B68&gt;0,C68/B68,0)</f>
        <v/>
      </c>
      <c r="E68">
        <f>IF(AND(A68&lt;&gt;"",B68&gt;0),D68+ROW()/10^7,0)</f>
        <v/>
      </c>
      <c r="I68" t="n">
        <v>8</v>
      </c>
      <c r="J68">
        <f>LARGE($E$61:$E$80,I68)</f>
        <v/>
      </c>
      <c r="K68">
        <f>IF(J68&gt;0,MATCH(J68,$E$61:$E$80,0),0)</f>
        <v/>
      </c>
      <c r="L68">
        <f>IF(K68&gt;0,INDEX($A$61:$A$80,K68),"")</f>
        <v/>
      </c>
      <c r="M68">
        <f>IF(K68&gt;0,INDEX($B$61:$B$80,K68),0)</f>
        <v/>
      </c>
      <c r="N68">
        <f>IF(K68&gt;0,INDEX($C$61:$C$80,K68),0)</f>
        <v/>
      </c>
      <c r="O68">
        <f>IF(K68&gt;0,INDEX($D$61:$D$80,K68),0)</f>
        <v/>
      </c>
    </row>
    <row r="69">
      <c r="A69">
        <f>IF(Orçamentos!$B$10="","",Orçamentos!$B$10)</f>
        <v/>
      </c>
      <c r="B69">
        <f>IF(A69="",0,N(Orçamentos!$C$10))</f>
        <v/>
      </c>
      <c r="C69">
        <f>IF(A69="",0,SUMIFS(L_VALOR,L_TIPO,"Despesa",L_DATA,"&gt;="&amp;F_INI,L_DATA,"&lt;="&amp;F_FIM,L_CONTA,F_CONTA,L_TIT,F_TIT,L_EXCL,"",L_CAT,A69))</f>
        <v/>
      </c>
      <c r="D69">
        <f>IF(B69&gt;0,C69/B69,0)</f>
        <v/>
      </c>
      <c r="E69">
        <f>IF(AND(A69&lt;&gt;"",B69&gt;0),D69+ROW()/10^7,0)</f>
        <v/>
      </c>
    </row>
    <row r="70">
      <c r="A70">
        <f>IF(Orçamentos!$B$11="","",Orçamentos!$B$11)</f>
        <v/>
      </c>
      <c r="B70">
        <f>IF(A70="",0,N(Orçamentos!$C$11))</f>
        <v/>
      </c>
      <c r="C70">
        <f>IF(A70="",0,SUMIFS(L_VALOR,L_TIPO,"Despesa",L_DATA,"&gt;="&amp;F_INI,L_DATA,"&lt;="&amp;F_FIM,L_CONTA,F_CONTA,L_TIT,F_TIT,L_EXCL,"",L_CAT,A70))</f>
        <v/>
      </c>
      <c r="D70">
        <f>IF(B70&gt;0,C70/B70,0)</f>
        <v/>
      </c>
      <c r="E70">
        <f>IF(AND(A70&lt;&gt;"",B70&gt;0),D70+ROW()/10^7,0)</f>
        <v/>
      </c>
    </row>
    <row r="71">
      <c r="A71">
        <f>IF(Orçamentos!$B$12="","",Orçamentos!$B$12)</f>
        <v/>
      </c>
      <c r="B71">
        <f>IF(A71="",0,N(Orçamentos!$C$12))</f>
        <v/>
      </c>
      <c r="C71">
        <f>IF(A71="",0,SUMIFS(L_VALOR,L_TIPO,"Despesa",L_DATA,"&gt;="&amp;F_INI,L_DATA,"&lt;="&amp;F_FIM,L_CONTA,F_CONTA,L_TIT,F_TIT,L_EXCL,"",L_CAT,A71))</f>
        <v/>
      </c>
      <c r="D71">
        <f>IF(B71&gt;0,C71/B71,0)</f>
        <v/>
      </c>
      <c r="E71">
        <f>IF(AND(A71&lt;&gt;"",B71&gt;0),D71+ROW()/10^7,0)</f>
        <v/>
      </c>
    </row>
    <row r="72">
      <c r="A72">
        <f>IF(Orçamentos!$B$13="","",Orçamentos!$B$13)</f>
        <v/>
      </c>
      <c r="B72">
        <f>IF(A72="",0,N(Orçamentos!$C$13))</f>
        <v/>
      </c>
      <c r="C72">
        <f>IF(A72="",0,SUMIFS(L_VALOR,L_TIPO,"Despesa",L_DATA,"&gt;="&amp;F_INI,L_DATA,"&lt;="&amp;F_FIM,L_CONTA,F_CONTA,L_TIT,F_TIT,L_EXCL,"",L_CAT,A72))</f>
        <v/>
      </c>
      <c r="D72">
        <f>IF(B72&gt;0,C72/B72,0)</f>
        <v/>
      </c>
      <c r="E72">
        <f>IF(AND(A72&lt;&gt;"",B72&gt;0),D72+ROW()/10^7,0)</f>
        <v/>
      </c>
    </row>
    <row r="73">
      <c r="A73">
        <f>IF(Orçamentos!$B$14="","",Orçamentos!$B$14)</f>
        <v/>
      </c>
      <c r="B73">
        <f>IF(A73="",0,N(Orçamentos!$C$14))</f>
        <v/>
      </c>
      <c r="C73">
        <f>IF(A73="",0,SUMIFS(L_VALOR,L_TIPO,"Despesa",L_DATA,"&gt;="&amp;F_INI,L_DATA,"&lt;="&amp;F_FIM,L_CONTA,F_CONTA,L_TIT,F_TIT,L_EXCL,"",L_CAT,A73))</f>
        <v/>
      </c>
      <c r="D73">
        <f>IF(B73&gt;0,C73/B73,0)</f>
        <v/>
      </c>
      <c r="E73">
        <f>IF(AND(A73&lt;&gt;"",B73&gt;0),D73+ROW()/10^7,0)</f>
        <v/>
      </c>
    </row>
    <row r="74">
      <c r="A74">
        <f>IF(Orçamentos!$B$15="","",Orçamentos!$B$15)</f>
        <v/>
      </c>
      <c r="B74">
        <f>IF(A74="",0,N(Orçamentos!$C$15))</f>
        <v/>
      </c>
      <c r="C74">
        <f>IF(A74="",0,SUMIFS(L_VALOR,L_TIPO,"Despesa",L_DATA,"&gt;="&amp;F_INI,L_DATA,"&lt;="&amp;F_FIM,L_CONTA,F_CONTA,L_TIT,F_TIT,L_EXCL,"",L_CAT,A74))</f>
        <v/>
      </c>
      <c r="D74">
        <f>IF(B74&gt;0,C74/B74,0)</f>
        <v/>
      </c>
      <c r="E74">
        <f>IF(AND(A74&lt;&gt;"",B74&gt;0),D74+ROW()/10^7,0)</f>
        <v/>
      </c>
    </row>
    <row r="75">
      <c r="A75">
        <f>IF(Orçamentos!$B$16="","",Orçamentos!$B$16)</f>
        <v/>
      </c>
      <c r="B75">
        <f>IF(A75="",0,N(Orçamentos!$C$16))</f>
        <v/>
      </c>
      <c r="C75">
        <f>IF(A75="",0,SUMIFS(L_VALOR,L_TIPO,"Despesa",L_DATA,"&gt;="&amp;F_INI,L_DATA,"&lt;="&amp;F_FIM,L_CONTA,F_CONTA,L_TIT,F_TIT,L_EXCL,"",L_CAT,A75))</f>
        <v/>
      </c>
      <c r="D75">
        <f>IF(B75&gt;0,C75/B75,0)</f>
        <v/>
      </c>
      <c r="E75">
        <f>IF(AND(A75&lt;&gt;"",B75&gt;0),D75+ROW()/10^7,0)</f>
        <v/>
      </c>
    </row>
    <row r="76">
      <c r="A76">
        <f>IF(Orçamentos!$B$17="","",Orçamentos!$B$17)</f>
        <v/>
      </c>
      <c r="B76">
        <f>IF(A76="",0,N(Orçamentos!$C$17))</f>
        <v/>
      </c>
      <c r="C76">
        <f>IF(A76="",0,SUMIFS(L_VALOR,L_TIPO,"Despesa",L_DATA,"&gt;="&amp;F_INI,L_DATA,"&lt;="&amp;F_FIM,L_CONTA,F_CONTA,L_TIT,F_TIT,L_EXCL,"",L_CAT,A76))</f>
        <v/>
      </c>
      <c r="D76">
        <f>IF(B76&gt;0,C76/B76,0)</f>
        <v/>
      </c>
      <c r="E76">
        <f>IF(AND(A76&lt;&gt;"",B76&gt;0),D76+ROW()/10^7,0)</f>
        <v/>
      </c>
    </row>
    <row r="77">
      <c r="A77">
        <f>IF(Orçamentos!$B$18="","",Orçamentos!$B$18)</f>
        <v/>
      </c>
      <c r="B77">
        <f>IF(A77="",0,N(Orçamentos!$C$18))</f>
        <v/>
      </c>
      <c r="C77">
        <f>IF(A77="",0,SUMIFS(L_VALOR,L_TIPO,"Despesa",L_DATA,"&gt;="&amp;F_INI,L_DATA,"&lt;="&amp;F_FIM,L_CONTA,F_CONTA,L_TIT,F_TIT,L_EXCL,"",L_CAT,A77))</f>
        <v/>
      </c>
      <c r="D77">
        <f>IF(B77&gt;0,C77/B77,0)</f>
        <v/>
      </c>
      <c r="E77">
        <f>IF(AND(A77&lt;&gt;"",B77&gt;0),D77+ROW()/10^7,0)</f>
        <v/>
      </c>
    </row>
    <row r="78">
      <c r="A78">
        <f>IF(Orçamentos!$B$19="","",Orçamentos!$B$19)</f>
        <v/>
      </c>
      <c r="B78">
        <f>IF(A78="",0,N(Orçamentos!$C$19))</f>
        <v/>
      </c>
      <c r="C78">
        <f>IF(A78="",0,SUMIFS(L_VALOR,L_TIPO,"Despesa",L_DATA,"&gt;="&amp;F_INI,L_DATA,"&lt;="&amp;F_FIM,L_CONTA,F_CONTA,L_TIT,F_TIT,L_EXCL,"",L_CAT,A78))</f>
        <v/>
      </c>
      <c r="D78">
        <f>IF(B78&gt;0,C78/B78,0)</f>
        <v/>
      </c>
      <c r="E78">
        <f>IF(AND(A78&lt;&gt;"",B78&gt;0),D78+ROW()/10^7,0)</f>
        <v/>
      </c>
    </row>
    <row r="79">
      <c r="A79">
        <f>IF(Orçamentos!$B$20="","",Orçamentos!$B$20)</f>
        <v/>
      </c>
      <c r="B79">
        <f>IF(A79="",0,N(Orçamentos!$C$20))</f>
        <v/>
      </c>
      <c r="C79">
        <f>IF(A79="",0,SUMIFS(L_VALOR,L_TIPO,"Despesa",L_DATA,"&gt;="&amp;F_INI,L_DATA,"&lt;="&amp;F_FIM,L_CONTA,F_CONTA,L_TIT,F_TIT,L_EXCL,"",L_CAT,A79))</f>
        <v/>
      </c>
      <c r="D79">
        <f>IF(B79&gt;0,C79/B79,0)</f>
        <v/>
      </c>
      <c r="E79">
        <f>IF(AND(A79&lt;&gt;"",B79&gt;0),D79+ROW()/10^7,0)</f>
        <v/>
      </c>
    </row>
    <row r="80">
      <c r="A80">
        <f>IF(Orçamentos!$B$21="","",Orçamentos!$B$21)</f>
        <v/>
      </c>
      <c r="B80">
        <f>IF(A80="",0,N(Orçamentos!$C$21))</f>
        <v/>
      </c>
      <c r="C80">
        <f>IF(A80="",0,SUMIFS(L_VALOR,L_TIPO,"Despesa",L_DATA,"&gt;="&amp;F_INI,L_DATA,"&lt;="&amp;F_FIM,L_CONTA,F_CONTA,L_TIT,F_TIT,L_EXCL,"",L_CAT,A80))</f>
        <v/>
      </c>
      <c r="D80">
        <f>IF(B80&gt;0,C80/B80,0)</f>
        <v/>
      </c>
      <c r="E80">
        <f>IF(AND(A80&lt;&gt;"",B80&gt;0),D80+ROW()/10^7,0)</f>
        <v/>
      </c>
    </row>
    <row r="84">
      <c r="A84" t="inlineStr">
        <is>
          <t>mes</t>
        </is>
      </c>
      <c r="B84" t="inlineStr">
        <is>
          <t>rotulo</t>
        </is>
      </c>
      <c r="C84" t="inlineStr">
        <is>
          <t>Receitas</t>
        </is>
      </c>
      <c r="D84" t="inlineStr">
        <is>
          <t>Despesas</t>
        </is>
      </c>
    </row>
    <row r="85">
      <c r="A85" s="60">
        <f>EDATE(F_INI,-5)</f>
        <v/>
      </c>
      <c r="B85">
        <f>INDEX('_Listas'!$C$2:$C$13,MONTH(A85))&amp;"/"&amp;RIGHT(YEAR(A85),2)</f>
        <v/>
      </c>
      <c r="C85">
        <f>SUMIFS(L_VALOR,L_TIPO,"Receita",L_DATA,"&gt;="&amp;A85,L_DATA,"&lt;="&amp;EOMONTH(A85,0),L_CONTA,F_CONTA,L_TIT,F_TIT,L_EXCL,"")</f>
        <v/>
      </c>
      <c r="D85">
        <f>SUMIFS(L_VALOR,L_TIPO,"Despesa",L_DATA,"&gt;="&amp;A85,L_DATA,"&lt;="&amp;EOMONTH(A85,0),L_CONTA,F_CONTA,L_TIT,F_TIT,L_EXCL,"")</f>
        <v/>
      </c>
    </row>
    <row r="86">
      <c r="A86" s="60">
        <f>EDATE(F_INI,-4)</f>
        <v/>
      </c>
      <c r="B86">
        <f>INDEX('_Listas'!$C$2:$C$13,MONTH(A86))&amp;"/"&amp;RIGHT(YEAR(A86),2)</f>
        <v/>
      </c>
      <c r="C86">
        <f>SUMIFS(L_VALOR,L_TIPO,"Receita",L_DATA,"&gt;="&amp;A86,L_DATA,"&lt;="&amp;EOMONTH(A86,0),L_CONTA,F_CONTA,L_TIT,F_TIT,L_EXCL,"")</f>
        <v/>
      </c>
      <c r="D86">
        <f>SUMIFS(L_VALOR,L_TIPO,"Despesa",L_DATA,"&gt;="&amp;A86,L_DATA,"&lt;="&amp;EOMONTH(A86,0),L_CONTA,F_CONTA,L_TIT,F_TIT,L_EXCL,"")</f>
        <v/>
      </c>
    </row>
    <row r="87">
      <c r="A87" s="60">
        <f>EDATE(F_INI,-3)</f>
        <v/>
      </c>
      <c r="B87">
        <f>INDEX('_Listas'!$C$2:$C$13,MONTH(A87))&amp;"/"&amp;RIGHT(YEAR(A87),2)</f>
        <v/>
      </c>
      <c r="C87">
        <f>SUMIFS(L_VALOR,L_TIPO,"Receita",L_DATA,"&gt;="&amp;A87,L_DATA,"&lt;="&amp;EOMONTH(A87,0),L_CONTA,F_CONTA,L_TIT,F_TIT,L_EXCL,"")</f>
        <v/>
      </c>
      <c r="D87">
        <f>SUMIFS(L_VALOR,L_TIPO,"Despesa",L_DATA,"&gt;="&amp;A87,L_DATA,"&lt;="&amp;EOMONTH(A87,0),L_CONTA,F_CONTA,L_TIT,F_TIT,L_EXCL,"")</f>
        <v/>
      </c>
    </row>
    <row r="88">
      <c r="A88" s="60">
        <f>EDATE(F_INI,-2)</f>
        <v/>
      </c>
      <c r="B88">
        <f>INDEX('_Listas'!$C$2:$C$13,MONTH(A88))&amp;"/"&amp;RIGHT(YEAR(A88),2)</f>
        <v/>
      </c>
      <c r="C88">
        <f>SUMIFS(L_VALOR,L_TIPO,"Receita",L_DATA,"&gt;="&amp;A88,L_DATA,"&lt;="&amp;EOMONTH(A88,0),L_CONTA,F_CONTA,L_TIT,F_TIT,L_EXCL,"")</f>
        <v/>
      </c>
      <c r="D88">
        <f>SUMIFS(L_VALOR,L_TIPO,"Despesa",L_DATA,"&gt;="&amp;A88,L_DATA,"&lt;="&amp;EOMONTH(A88,0),L_CONTA,F_CONTA,L_TIT,F_TIT,L_EXCL,"")</f>
        <v/>
      </c>
    </row>
    <row r="89">
      <c r="A89" s="60">
        <f>EDATE(F_INI,-1)</f>
        <v/>
      </c>
      <c r="B89">
        <f>INDEX('_Listas'!$C$2:$C$13,MONTH(A89))&amp;"/"&amp;RIGHT(YEAR(A89),2)</f>
        <v/>
      </c>
      <c r="C89">
        <f>SUMIFS(L_VALOR,L_TIPO,"Receita",L_DATA,"&gt;="&amp;A89,L_DATA,"&lt;="&amp;EOMONTH(A89,0),L_CONTA,F_CONTA,L_TIT,F_TIT,L_EXCL,"")</f>
        <v/>
      </c>
      <c r="D89">
        <f>SUMIFS(L_VALOR,L_TIPO,"Despesa",L_DATA,"&gt;="&amp;A89,L_DATA,"&lt;="&amp;EOMONTH(A89,0),L_CONTA,F_CONTA,L_TIT,F_TIT,L_EXCL,"")</f>
        <v/>
      </c>
    </row>
    <row r="90">
      <c r="A90" s="60">
        <f>EDATE(F_INI,0)</f>
        <v/>
      </c>
      <c r="B90">
        <f>INDEX('_Listas'!$C$2:$C$13,MONTH(A90))&amp;"/"&amp;RIGHT(YEAR(A90),2)</f>
        <v/>
      </c>
      <c r="C90">
        <f>SUMIFS(L_VALOR,L_TIPO,"Receita",L_DATA,"&gt;="&amp;A90,L_DATA,"&lt;="&amp;EOMONTH(A90,0),L_CONTA,F_CONTA,L_TIT,F_TIT,L_EXCL,"")</f>
        <v/>
      </c>
      <c r="D90">
        <f>SUMIFS(L_VALOR,L_TIPO,"Despesa",L_DATA,"&gt;="&amp;A90,L_DATA,"&lt;="&amp;EOMONTH(A90,0),L_CONTA,F_CONTA,L_TIT,F_TIT,L_EXCL,"")</f>
        <v/>
      </c>
    </row>
    <row r="94">
      <c r="A94" t="inlineStr">
        <is>
          <t>GASTOS POR DIA</t>
        </is>
      </c>
    </row>
    <row r="95">
      <c r="A95" t="inlineStr">
        <is>
          <t>dia</t>
        </is>
      </c>
      <c r="B95" t="inlineStr">
        <is>
          <t>Despesas</t>
        </is>
      </c>
    </row>
    <row r="96">
      <c r="A96" t="n">
        <v>1</v>
      </c>
      <c r="B96">
        <f>IF(A96&gt;DAY(F_FIM),0,SUMIFS(L_VALOR,L_TIPO,"Despesa",L_DATA,F_INI+A96-1,L_CONTA,F_CONTA,L_TIT,F_TIT,L_EXCL,""))</f>
        <v/>
      </c>
    </row>
    <row r="97">
      <c r="A97" t="n">
        <v>2</v>
      </c>
      <c r="B97">
        <f>IF(A97&gt;DAY(F_FIM),0,SUMIFS(L_VALOR,L_TIPO,"Despesa",L_DATA,F_INI+A97-1,L_CONTA,F_CONTA,L_TIT,F_TIT,L_EXCL,""))</f>
        <v/>
      </c>
    </row>
    <row r="98">
      <c r="A98" t="n">
        <v>3</v>
      </c>
      <c r="B98">
        <f>IF(A98&gt;DAY(F_FIM),0,SUMIFS(L_VALOR,L_TIPO,"Despesa",L_DATA,F_INI+A98-1,L_CONTA,F_CONTA,L_TIT,F_TIT,L_EXCL,""))</f>
        <v/>
      </c>
    </row>
    <row r="99">
      <c r="A99" t="n">
        <v>4</v>
      </c>
      <c r="B99">
        <f>IF(A99&gt;DAY(F_FIM),0,SUMIFS(L_VALOR,L_TIPO,"Despesa",L_DATA,F_INI+A99-1,L_CONTA,F_CONTA,L_TIT,F_TIT,L_EXCL,""))</f>
        <v/>
      </c>
    </row>
    <row r="100">
      <c r="A100" t="n">
        <v>5</v>
      </c>
      <c r="B100">
        <f>IF(A100&gt;DAY(F_FIM),0,SUMIFS(L_VALOR,L_TIPO,"Despesa",L_DATA,F_INI+A100-1,L_CONTA,F_CONTA,L_TIT,F_TIT,L_EXCL,""))</f>
        <v/>
      </c>
    </row>
    <row r="101">
      <c r="A101" t="n">
        <v>6</v>
      </c>
      <c r="B101">
        <f>IF(A101&gt;DAY(F_FIM),0,SUMIFS(L_VALOR,L_TIPO,"Despesa",L_DATA,F_INI+A101-1,L_CONTA,F_CONTA,L_TIT,F_TIT,L_EXCL,""))</f>
        <v/>
      </c>
    </row>
    <row r="102">
      <c r="A102" t="n">
        <v>7</v>
      </c>
      <c r="B102">
        <f>IF(A102&gt;DAY(F_FIM),0,SUMIFS(L_VALOR,L_TIPO,"Despesa",L_DATA,F_INI+A102-1,L_CONTA,F_CONTA,L_TIT,F_TIT,L_EXCL,""))</f>
        <v/>
      </c>
    </row>
    <row r="103">
      <c r="A103" t="n">
        <v>8</v>
      </c>
      <c r="B103">
        <f>IF(A103&gt;DAY(F_FIM),0,SUMIFS(L_VALOR,L_TIPO,"Despesa",L_DATA,F_INI+A103-1,L_CONTA,F_CONTA,L_TIT,F_TIT,L_EXCL,""))</f>
        <v/>
      </c>
    </row>
    <row r="104">
      <c r="A104" t="n">
        <v>9</v>
      </c>
      <c r="B104">
        <f>IF(A104&gt;DAY(F_FIM),0,SUMIFS(L_VALOR,L_TIPO,"Despesa",L_DATA,F_INI+A104-1,L_CONTA,F_CONTA,L_TIT,F_TIT,L_EXCL,""))</f>
        <v/>
      </c>
    </row>
    <row r="105">
      <c r="A105" t="n">
        <v>10</v>
      </c>
      <c r="B105">
        <f>IF(A105&gt;DAY(F_FIM),0,SUMIFS(L_VALOR,L_TIPO,"Despesa",L_DATA,F_INI+A105-1,L_CONTA,F_CONTA,L_TIT,F_TIT,L_EXCL,""))</f>
        <v/>
      </c>
    </row>
    <row r="106">
      <c r="A106" t="n">
        <v>11</v>
      </c>
      <c r="B106">
        <f>IF(A106&gt;DAY(F_FIM),0,SUMIFS(L_VALOR,L_TIPO,"Despesa",L_DATA,F_INI+A106-1,L_CONTA,F_CONTA,L_TIT,F_TIT,L_EXCL,""))</f>
        <v/>
      </c>
    </row>
    <row r="107">
      <c r="A107" t="n">
        <v>12</v>
      </c>
      <c r="B107">
        <f>IF(A107&gt;DAY(F_FIM),0,SUMIFS(L_VALOR,L_TIPO,"Despesa",L_DATA,F_INI+A107-1,L_CONTA,F_CONTA,L_TIT,F_TIT,L_EXCL,""))</f>
        <v/>
      </c>
    </row>
    <row r="108">
      <c r="A108" t="n">
        <v>13</v>
      </c>
      <c r="B108">
        <f>IF(A108&gt;DAY(F_FIM),0,SUMIFS(L_VALOR,L_TIPO,"Despesa",L_DATA,F_INI+A108-1,L_CONTA,F_CONTA,L_TIT,F_TIT,L_EXCL,""))</f>
        <v/>
      </c>
    </row>
    <row r="109">
      <c r="A109" t="n">
        <v>14</v>
      </c>
      <c r="B109">
        <f>IF(A109&gt;DAY(F_FIM),0,SUMIFS(L_VALOR,L_TIPO,"Despesa",L_DATA,F_INI+A109-1,L_CONTA,F_CONTA,L_TIT,F_TIT,L_EXCL,""))</f>
        <v/>
      </c>
    </row>
    <row r="110">
      <c r="A110" t="n">
        <v>15</v>
      </c>
      <c r="B110">
        <f>IF(A110&gt;DAY(F_FIM),0,SUMIFS(L_VALOR,L_TIPO,"Despesa",L_DATA,F_INI+A110-1,L_CONTA,F_CONTA,L_TIT,F_TIT,L_EXCL,""))</f>
        <v/>
      </c>
    </row>
    <row r="111">
      <c r="A111" t="n">
        <v>16</v>
      </c>
      <c r="B111">
        <f>IF(A111&gt;DAY(F_FIM),0,SUMIFS(L_VALOR,L_TIPO,"Despesa",L_DATA,F_INI+A111-1,L_CONTA,F_CONTA,L_TIT,F_TIT,L_EXCL,""))</f>
        <v/>
      </c>
    </row>
    <row r="112">
      <c r="A112" t="n">
        <v>17</v>
      </c>
      <c r="B112">
        <f>IF(A112&gt;DAY(F_FIM),0,SUMIFS(L_VALOR,L_TIPO,"Despesa",L_DATA,F_INI+A112-1,L_CONTA,F_CONTA,L_TIT,F_TIT,L_EXCL,""))</f>
        <v/>
      </c>
    </row>
    <row r="113">
      <c r="A113" t="n">
        <v>18</v>
      </c>
      <c r="B113">
        <f>IF(A113&gt;DAY(F_FIM),0,SUMIFS(L_VALOR,L_TIPO,"Despesa",L_DATA,F_INI+A113-1,L_CONTA,F_CONTA,L_TIT,F_TIT,L_EXCL,""))</f>
        <v/>
      </c>
    </row>
    <row r="114">
      <c r="A114" t="n">
        <v>19</v>
      </c>
      <c r="B114">
        <f>IF(A114&gt;DAY(F_FIM),0,SUMIFS(L_VALOR,L_TIPO,"Despesa",L_DATA,F_INI+A114-1,L_CONTA,F_CONTA,L_TIT,F_TIT,L_EXCL,""))</f>
        <v/>
      </c>
    </row>
    <row r="115">
      <c r="A115" t="n">
        <v>20</v>
      </c>
      <c r="B115">
        <f>IF(A115&gt;DAY(F_FIM),0,SUMIFS(L_VALOR,L_TIPO,"Despesa",L_DATA,F_INI+A115-1,L_CONTA,F_CONTA,L_TIT,F_TIT,L_EXCL,""))</f>
        <v/>
      </c>
    </row>
    <row r="116">
      <c r="A116" t="n">
        <v>21</v>
      </c>
      <c r="B116">
        <f>IF(A116&gt;DAY(F_FIM),0,SUMIFS(L_VALOR,L_TIPO,"Despesa",L_DATA,F_INI+A116-1,L_CONTA,F_CONTA,L_TIT,F_TIT,L_EXCL,""))</f>
        <v/>
      </c>
    </row>
    <row r="117">
      <c r="A117" t="n">
        <v>22</v>
      </c>
      <c r="B117">
        <f>IF(A117&gt;DAY(F_FIM),0,SUMIFS(L_VALOR,L_TIPO,"Despesa",L_DATA,F_INI+A117-1,L_CONTA,F_CONTA,L_TIT,F_TIT,L_EXCL,""))</f>
        <v/>
      </c>
    </row>
    <row r="118">
      <c r="A118" t="n">
        <v>23</v>
      </c>
      <c r="B118">
        <f>IF(A118&gt;DAY(F_FIM),0,SUMIFS(L_VALOR,L_TIPO,"Despesa",L_DATA,F_INI+A118-1,L_CONTA,F_CONTA,L_TIT,F_TIT,L_EXCL,""))</f>
        <v/>
      </c>
    </row>
    <row r="119">
      <c r="A119" t="n">
        <v>24</v>
      </c>
      <c r="B119">
        <f>IF(A119&gt;DAY(F_FIM),0,SUMIFS(L_VALOR,L_TIPO,"Despesa",L_DATA,F_INI+A119-1,L_CONTA,F_CONTA,L_TIT,F_TIT,L_EXCL,""))</f>
        <v/>
      </c>
    </row>
    <row r="120">
      <c r="A120" t="n">
        <v>25</v>
      </c>
      <c r="B120">
        <f>IF(A120&gt;DAY(F_FIM),0,SUMIFS(L_VALOR,L_TIPO,"Despesa",L_DATA,F_INI+A120-1,L_CONTA,F_CONTA,L_TIT,F_TIT,L_EXCL,""))</f>
        <v/>
      </c>
    </row>
    <row r="121">
      <c r="A121" t="n">
        <v>26</v>
      </c>
      <c r="B121">
        <f>IF(A121&gt;DAY(F_FIM),0,SUMIFS(L_VALOR,L_TIPO,"Despesa",L_DATA,F_INI+A121-1,L_CONTA,F_CONTA,L_TIT,F_TIT,L_EXCL,""))</f>
        <v/>
      </c>
    </row>
    <row r="122">
      <c r="A122" t="n">
        <v>27</v>
      </c>
      <c r="B122">
        <f>IF(A122&gt;DAY(F_FIM),0,SUMIFS(L_VALOR,L_TIPO,"Despesa",L_DATA,F_INI+A122-1,L_CONTA,F_CONTA,L_TIT,F_TIT,L_EXCL,""))</f>
        <v/>
      </c>
    </row>
    <row r="123">
      <c r="A123" t="n">
        <v>28</v>
      </c>
      <c r="B123">
        <f>IF(A123&gt;DAY(F_FIM),0,SUMIFS(L_VALOR,L_TIPO,"Despesa",L_DATA,F_INI+A123-1,L_CONTA,F_CONTA,L_TIT,F_TIT,L_EXCL,""))</f>
        <v/>
      </c>
    </row>
    <row r="124">
      <c r="A124" t="n">
        <v>29</v>
      </c>
      <c r="B124">
        <f>IF(A124&gt;DAY(F_FIM),0,SUMIFS(L_VALOR,L_TIPO,"Despesa",L_DATA,F_INI+A124-1,L_CONTA,F_CONTA,L_TIT,F_TIT,L_EXCL,""))</f>
        <v/>
      </c>
    </row>
    <row r="125">
      <c r="A125" t="n">
        <v>30</v>
      </c>
      <c r="B125">
        <f>IF(A125&gt;DAY(F_FIM),0,SUMIFS(L_VALOR,L_TIPO,"Despesa",L_DATA,F_INI+A125-1,L_CONTA,F_CONTA,L_TIT,F_TIT,L_EXCL,""))</f>
        <v/>
      </c>
    </row>
    <row r="126">
      <c r="A126" t="n">
        <v>31</v>
      </c>
      <c r="B126">
        <f>IF(A126&gt;DAY(F_FIM),0,SUMIFS(L_VALOR,L_TIPO,"Despesa",L_DATA,F_INI+A126-1,L_CONTA,F_CONTA,L_TIT,F_TIT,L_EXCL,""))</f>
        <v/>
      </c>
    </row>
    <row r="129">
      <c r="A129" t="inlineStr">
        <is>
          <t>MAIORES DESPESAS DO MÊS</t>
        </is>
      </c>
    </row>
    <row r="130">
      <c r="A130" t="n">
        <v>1</v>
      </c>
      <c r="B130">
        <f>SUMPRODUCT(LARGE((L_TIPO="Despesa")*(L_DATA&gt;=F_INI)*(L_DATA&lt;=F_FIM)*(L_EXCL="")*(((L_CONTA=F_CONTA_SEL)+(F_CONTA_SEL="Todas"))&gt;0)*(((L_TIT=F_TIT_SEL)+(F_TIT_SEL="Todos"))&gt;0)*(L_VALOR+ROW(L_VALOR)/10^7),A130))</f>
        <v/>
      </c>
      <c r="C130">
        <f>IF(B130&gt;0,ROUND((B130-ROUND(B130,2))*10^7,0),0)</f>
        <v/>
      </c>
    </row>
    <row r="131">
      <c r="A131" t="n">
        <v>2</v>
      </c>
      <c r="B131">
        <f>SUMPRODUCT(LARGE((L_TIPO="Despesa")*(L_DATA&gt;=F_INI)*(L_DATA&lt;=F_FIM)*(L_EXCL="")*(((L_CONTA=F_CONTA_SEL)+(F_CONTA_SEL="Todas"))&gt;0)*(((L_TIT=F_TIT_SEL)+(F_TIT_SEL="Todos"))&gt;0)*(L_VALOR+ROW(L_VALOR)/10^7),A131))</f>
        <v/>
      </c>
      <c r="C131">
        <f>IF(B131&gt;0,ROUND((B131-ROUND(B131,2))*10^7,0),0)</f>
        <v/>
      </c>
    </row>
    <row r="132">
      <c r="A132" t="n">
        <v>3</v>
      </c>
      <c r="B132">
        <f>SUMPRODUCT(LARGE((L_TIPO="Despesa")*(L_DATA&gt;=F_INI)*(L_DATA&lt;=F_FIM)*(L_EXCL="")*(((L_CONTA=F_CONTA_SEL)+(F_CONTA_SEL="Todas"))&gt;0)*(((L_TIT=F_TIT_SEL)+(F_TIT_SEL="Todos"))&gt;0)*(L_VALOR+ROW(L_VALOR)/10^7),A132))</f>
        <v/>
      </c>
      <c r="C132">
        <f>IF(B132&gt;0,ROUND((B132-ROUND(B132,2))*10^7,0),0)</f>
        <v/>
      </c>
    </row>
    <row r="133">
      <c r="A133" t="n">
        <v>4</v>
      </c>
      <c r="B133">
        <f>SUMPRODUCT(LARGE((L_TIPO="Despesa")*(L_DATA&gt;=F_INI)*(L_DATA&lt;=F_FIM)*(L_EXCL="")*(((L_CONTA=F_CONTA_SEL)+(F_CONTA_SEL="Todas"))&gt;0)*(((L_TIT=F_TIT_SEL)+(F_TIT_SEL="Todos"))&gt;0)*(L_VALOR+ROW(L_VALOR)/10^7),A133))</f>
        <v/>
      </c>
      <c r="C133">
        <f>IF(B133&gt;0,ROUND((B133-ROUND(B133,2))*10^7,0),0)</f>
        <v/>
      </c>
    </row>
    <row r="134">
      <c r="A134" t="n">
        <v>5</v>
      </c>
      <c r="B134">
        <f>SUMPRODUCT(LARGE((L_TIPO="Despesa")*(L_DATA&gt;=F_INI)*(L_DATA&lt;=F_FIM)*(L_EXCL="")*(((L_CONTA=F_CONTA_SEL)+(F_CONTA_SEL="Todas"))&gt;0)*(((L_TIT=F_TIT_SEL)+(F_TIT_SEL="Todos"))&gt;0)*(L_VALOR+ROW(L_VALOR)/10^7),A134))</f>
        <v/>
      </c>
      <c r="C134">
        <f>IF(B134&gt;0,ROUND((B134-ROUND(B134,2))*10^7,0),0)</f>
        <v/>
      </c>
    </row>
    <row r="135">
      <c r="A135" t="n">
        <v>6</v>
      </c>
      <c r="B135">
        <f>SUMPRODUCT(LARGE((L_TIPO="Despesa")*(L_DATA&gt;=F_INI)*(L_DATA&lt;=F_FIM)*(L_EXCL="")*(((L_CONTA=F_CONTA_SEL)+(F_CONTA_SEL="Todas"))&gt;0)*(((L_TIT=F_TIT_SEL)+(F_TIT_SEL="Todos"))&gt;0)*(L_VALOR+ROW(L_VALOR)/10^7),A135))</f>
        <v/>
      </c>
      <c r="C135">
        <f>IF(B135&gt;0,ROUND((B135-ROUND(B135,2))*10^7,0),0)</f>
        <v/>
      </c>
    </row>
    <row r="136">
      <c r="A136" t="n">
        <v>7</v>
      </c>
      <c r="B136">
        <f>SUMPRODUCT(LARGE((L_TIPO="Despesa")*(L_DATA&gt;=F_INI)*(L_DATA&lt;=F_FIM)*(L_EXCL="")*(((L_CONTA=F_CONTA_SEL)+(F_CONTA_SEL="Todas"))&gt;0)*(((L_TIT=F_TIT_SEL)+(F_TIT_SEL="Todos"))&gt;0)*(L_VALOR+ROW(L_VALOR)/10^7),A136))</f>
        <v/>
      </c>
      <c r="C136">
        <f>IF(B136&gt;0,ROUND((B136-ROUND(B136,2))*10^7,0),0)</f>
        <v/>
      </c>
    </row>
    <row r="137">
      <c r="A137" t="n">
        <v>8</v>
      </c>
      <c r="B137">
        <f>SUMPRODUCT(LARGE((L_TIPO="Despesa")*(L_DATA&gt;=F_INI)*(L_DATA&lt;=F_FIM)*(L_EXCL="")*(((L_CONTA=F_CONTA_SEL)+(F_CONTA_SEL="Todas"))&gt;0)*(((L_TIT=F_TIT_SEL)+(F_TIT_SEL="Todos"))&gt;0)*(L_VALOR+ROW(L_VALOR)/10^7),A137))</f>
        <v/>
      </c>
      <c r="C137">
        <f>IF(B137&gt;0,ROUND((B137-ROUND(B137,2))*10^7,0),0)</f>
        <v/>
      </c>
    </row>
    <row r="138">
      <c r="A138" t="n">
        <v>9</v>
      </c>
      <c r="B138">
        <f>SUMPRODUCT(LARGE((L_TIPO="Despesa")*(L_DATA&gt;=F_INI)*(L_DATA&lt;=F_FIM)*(L_EXCL="")*(((L_CONTA=F_CONTA_SEL)+(F_CONTA_SEL="Todas"))&gt;0)*(((L_TIT=F_TIT_SEL)+(F_TIT_SEL="Todos"))&gt;0)*(L_VALOR+ROW(L_VALOR)/10^7),A138))</f>
        <v/>
      </c>
      <c r="C138">
        <f>IF(B138&gt;0,ROUND((B138-ROUND(B138,2))*10^7,0),0)</f>
        <v/>
      </c>
    </row>
    <row r="139">
      <c r="A139" t="n">
        <v>10</v>
      </c>
      <c r="B139">
        <f>SUMPRODUCT(LARGE((L_TIPO="Despesa")*(L_DATA&gt;=F_INI)*(L_DATA&lt;=F_FIM)*(L_EXCL="")*(((L_CONTA=F_CONTA_SEL)+(F_CONTA_SEL="Todas"))&gt;0)*(((L_TIT=F_TIT_SEL)+(F_TIT_SEL="Todos"))&gt;0)*(L_VALOR+ROW(L_VALOR)/10^7),A139))</f>
        <v/>
      </c>
      <c r="C139">
        <f>IF(B139&gt;0,ROUND((B139-ROUND(B139,2))*10^7,0),0)</f>
        <v/>
      </c>
    </row>
    <row r="144">
      <c r="A144" t="inlineStr">
        <is>
          <t>CONTAS A PAGAR (pendentes até o fim do mês; cartão usa o vencimento da fatura)</t>
        </is>
      </c>
    </row>
    <row r="145">
      <c r="A145" t="n">
        <v>1</v>
      </c>
      <c r="B145">
        <f>SUMPRODUCT(LARGE((L_TIPO="Despesa")*(L_STATUS="Pendente")*(L_EXCL="")*(((L_CONTA=F_CONTA_SEL)+(F_CONTA_SEL="Todas"))&gt;0)*(((L_TIT=F_TIT_SEL)+(F_TIT_SEL="Todos"))&gt;0)*((L_DATA*(L_CICLO=0)+L_CICLO)&gt;0)*((L_DATA*(L_CICLO=0)+L_CICLO)&lt;=F_FIM)*(100000-(L_DATA*(L_CICLO=0)+L_CICLO)+ROW(L_DATA)/10^7),A145))</f>
        <v/>
      </c>
      <c r="C145" s="60">
        <f>IF(B145&gt;0,100000-INT(B145),0)</f>
        <v/>
      </c>
      <c r="D145">
        <f>IF(B145&gt;0,ROUND((B145-INT(B145))*10^7,0),0)</f>
        <v/>
      </c>
    </row>
    <row r="146">
      <c r="A146" t="n">
        <v>2</v>
      </c>
      <c r="B146">
        <f>SUMPRODUCT(LARGE((L_TIPO="Despesa")*(L_STATUS="Pendente")*(L_EXCL="")*(((L_CONTA=F_CONTA_SEL)+(F_CONTA_SEL="Todas"))&gt;0)*(((L_TIT=F_TIT_SEL)+(F_TIT_SEL="Todos"))&gt;0)*((L_DATA*(L_CICLO=0)+L_CICLO)&gt;0)*((L_DATA*(L_CICLO=0)+L_CICLO)&lt;=F_FIM)*(100000-(L_DATA*(L_CICLO=0)+L_CICLO)+ROW(L_DATA)/10^7),A146))</f>
        <v/>
      </c>
      <c r="C146" s="60">
        <f>IF(B146&gt;0,100000-INT(B146),0)</f>
        <v/>
      </c>
      <c r="D146">
        <f>IF(B146&gt;0,ROUND((B146-INT(B146))*10^7,0),0)</f>
        <v/>
      </c>
    </row>
    <row r="147">
      <c r="A147" t="n">
        <v>3</v>
      </c>
      <c r="B147">
        <f>SUMPRODUCT(LARGE((L_TIPO="Despesa")*(L_STATUS="Pendente")*(L_EXCL="")*(((L_CONTA=F_CONTA_SEL)+(F_CONTA_SEL="Todas"))&gt;0)*(((L_TIT=F_TIT_SEL)+(F_TIT_SEL="Todos"))&gt;0)*((L_DATA*(L_CICLO=0)+L_CICLO)&gt;0)*((L_DATA*(L_CICLO=0)+L_CICLO)&lt;=F_FIM)*(100000-(L_DATA*(L_CICLO=0)+L_CICLO)+ROW(L_DATA)/10^7),A147))</f>
        <v/>
      </c>
      <c r="C147" s="60">
        <f>IF(B147&gt;0,100000-INT(B147),0)</f>
        <v/>
      </c>
      <c r="D147">
        <f>IF(B147&gt;0,ROUND((B147-INT(B147))*10^7,0),0)</f>
        <v/>
      </c>
    </row>
    <row r="148">
      <c r="A148" t="n">
        <v>4</v>
      </c>
      <c r="B148">
        <f>SUMPRODUCT(LARGE((L_TIPO="Despesa")*(L_STATUS="Pendente")*(L_EXCL="")*(((L_CONTA=F_CONTA_SEL)+(F_CONTA_SEL="Todas"))&gt;0)*(((L_TIT=F_TIT_SEL)+(F_TIT_SEL="Todos"))&gt;0)*((L_DATA*(L_CICLO=0)+L_CICLO)&gt;0)*((L_DATA*(L_CICLO=0)+L_CICLO)&lt;=F_FIM)*(100000-(L_DATA*(L_CICLO=0)+L_CICLO)+ROW(L_DATA)/10^7),A148))</f>
        <v/>
      </c>
      <c r="C148" s="60">
        <f>IF(B148&gt;0,100000-INT(B148),0)</f>
        <v/>
      </c>
      <c r="D148">
        <f>IF(B148&gt;0,ROUND((B148-INT(B148))*10^7,0),0)</f>
        <v/>
      </c>
    </row>
    <row r="149">
      <c r="A149" t="n">
        <v>5</v>
      </c>
      <c r="B149">
        <f>SUMPRODUCT(LARGE((L_TIPO="Despesa")*(L_STATUS="Pendente")*(L_EXCL="")*(((L_CONTA=F_CONTA_SEL)+(F_CONTA_SEL="Todas"))&gt;0)*(((L_TIT=F_TIT_SEL)+(F_TIT_SEL="Todos"))&gt;0)*((L_DATA*(L_CICLO=0)+L_CICLO)&gt;0)*((L_DATA*(L_CICLO=0)+L_CICLO)&lt;=F_FIM)*(100000-(L_DATA*(L_CICLO=0)+L_CICLO)+ROW(L_DATA)/10^7),A149))</f>
        <v/>
      </c>
      <c r="C149" s="60">
        <f>IF(B149&gt;0,100000-INT(B149),0)</f>
        <v/>
      </c>
      <c r="D149">
        <f>IF(B149&gt;0,ROUND((B149-INT(B149))*10^7,0),0)</f>
        <v/>
      </c>
    </row>
    <row r="150">
      <c r="A150" t="n">
        <v>6</v>
      </c>
      <c r="B150">
        <f>SUMPRODUCT(LARGE((L_TIPO="Despesa")*(L_STATUS="Pendente")*(L_EXCL="")*(((L_CONTA=F_CONTA_SEL)+(F_CONTA_SEL="Todas"))&gt;0)*(((L_TIT=F_TIT_SEL)+(F_TIT_SEL="Todos"))&gt;0)*((L_DATA*(L_CICLO=0)+L_CICLO)&gt;0)*((L_DATA*(L_CICLO=0)+L_CICLO)&lt;=F_FIM)*(100000-(L_DATA*(L_CICLO=0)+L_CICLO)+ROW(L_DATA)/10^7),A150))</f>
        <v/>
      </c>
      <c r="C150" s="60">
        <f>IF(B150&gt;0,100000-INT(B150),0)</f>
        <v/>
      </c>
      <c r="D150">
        <f>IF(B150&gt;0,ROUND((B150-INT(B150))*10^7,0),0)</f>
        <v/>
      </c>
    </row>
    <row r="151">
      <c r="A151" t="n">
        <v>7</v>
      </c>
      <c r="B151">
        <f>SUMPRODUCT(LARGE((L_TIPO="Despesa")*(L_STATUS="Pendente")*(L_EXCL="")*(((L_CONTA=F_CONTA_SEL)+(F_CONTA_SEL="Todas"))&gt;0)*(((L_TIT=F_TIT_SEL)+(F_TIT_SEL="Todos"))&gt;0)*((L_DATA*(L_CICLO=0)+L_CICLO)&gt;0)*((L_DATA*(L_CICLO=0)+L_CICLO)&lt;=F_FIM)*(100000-(L_DATA*(L_CICLO=0)+L_CICLO)+ROW(L_DATA)/10^7),A151))</f>
        <v/>
      </c>
      <c r="C151" s="60">
        <f>IF(B151&gt;0,100000-INT(B151),0)</f>
        <v/>
      </c>
      <c r="D151">
        <f>IF(B151&gt;0,ROUND((B151-INT(B151))*10^7,0),0)</f>
        <v/>
      </c>
    </row>
    <row r="152">
      <c r="A152" t="n">
        <v>8</v>
      </c>
      <c r="B152">
        <f>SUMPRODUCT(LARGE((L_TIPO="Despesa")*(L_STATUS="Pendente")*(L_EXCL="")*(((L_CONTA=F_CONTA_SEL)+(F_CONTA_SEL="Todas"))&gt;0)*(((L_TIT=F_TIT_SEL)+(F_TIT_SEL="Todos"))&gt;0)*((L_DATA*(L_CICLO=0)+L_CICLO)&gt;0)*((L_DATA*(L_CICLO=0)+L_CICLO)&lt;=F_FIM)*(100000-(L_DATA*(L_CICLO=0)+L_CICLO)+ROW(L_DATA)/10^7),A152))</f>
        <v/>
      </c>
      <c r="C152" s="60">
        <f>IF(B152&gt;0,100000-INT(B152),0)</f>
        <v/>
      </c>
      <c r="D152">
        <f>IF(B152&gt;0,ROUND((B152-INT(B152))*10^7,0),0)</f>
        <v/>
      </c>
    </row>
    <row r="153">
      <c r="A153" t="n">
        <v>9</v>
      </c>
      <c r="B153">
        <f>SUMPRODUCT(LARGE((L_TIPO="Despesa")*(L_STATUS="Pendente")*(L_EXCL="")*(((L_CONTA=F_CONTA_SEL)+(F_CONTA_SEL="Todas"))&gt;0)*(((L_TIT=F_TIT_SEL)+(F_TIT_SEL="Todos"))&gt;0)*((L_DATA*(L_CICLO=0)+L_CICLO)&gt;0)*((L_DATA*(L_CICLO=0)+L_CICLO)&lt;=F_FIM)*(100000-(L_DATA*(L_CICLO=0)+L_CICLO)+ROW(L_DATA)/10^7),A153))</f>
        <v/>
      </c>
      <c r="C153" s="60">
        <f>IF(B153&gt;0,100000-INT(B153),0)</f>
        <v/>
      </c>
      <c r="D153">
        <f>IF(B153&gt;0,ROUND((B153-INT(B153))*10^7,0),0)</f>
        <v/>
      </c>
    </row>
    <row r="154">
      <c r="A154" t="n">
        <v>10</v>
      </c>
      <c r="B154">
        <f>SUMPRODUCT(LARGE((L_TIPO="Despesa")*(L_STATUS="Pendente")*(L_EXCL="")*(((L_CONTA=F_CONTA_SEL)+(F_CONTA_SEL="Todas"))&gt;0)*(((L_TIT=F_TIT_SEL)+(F_TIT_SEL="Todos"))&gt;0)*((L_DATA*(L_CICLO=0)+L_CICLO)&gt;0)*((L_DATA*(L_CICLO=0)+L_CICLO)&lt;=F_FIM)*(100000-(L_DATA*(L_CICLO=0)+L_CICLO)+ROW(L_DATA)/10^7),A154))</f>
        <v/>
      </c>
      <c r="C154" s="60">
        <f>IF(B154&gt;0,100000-INT(B154),0)</f>
        <v/>
      </c>
      <c r="D154">
        <f>IF(B154&gt;0,ROUND((B154-INT(B154))*10^7,0),0)</f>
        <v/>
      </c>
    </row>
    <row r="159">
      <c r="A159" t="inlineStr">
        <is>
          <t>nome</t>
        </is>
      </c>
      <c r="B159" t="inlineStr">
        <is>
          <t>tipo</t>
        </is>
      </c>
      <c r="C159" t="inlineStr">
        <is>
          <t>saldo_inicial</t>
        </is>
      </c>
      <c r="D159" t="inlineStr">
        <is>
          <t>saldo_atual</t>
        </is>
      </c>
    </row>
    <row r="160">
      <c r="A160">
        <f>IF(Contas!$B$2="","",Contas!$B$2)</f>
        <v/>
      </c>
      <c r="B160">
        <f>IF(A160="","",Contas!$C$2)</f>
        <v/>
      </c>
      <c r="C160">
        <f>IF(A160="",0,N(Contas!$E$2))</f>
        <v/>
      </c>
      <c r="D160">
        <f>IF(A160="",0,IF(B160="Cartão de crédito",C160+SUMIFS(L_VALOR,L_TIPO,"Receita",L_CONTA,A160,L_EXCL,"")-SUMIFS(L_VALOR,L_TIPO,"Despesa",L_CONTA,A160,L_EXCL,"")-SUMIFS(L_VALOR,L_TIPO,"Transferência",L_CONTA,A160,L_EXCL,"",L_STATUS,"Pago")+SUMIFS(L_VALOR,L_TIPO,"Transferência",L_DEST,A160,L_EXCL,"",L_STATUS,"Pago"),C160+SUMIFS(L_VALOR,L_TIPO,"Receita",L_CONTA,A160,L_EXCL,"",L_STATUS,"Pago")-SUMIFS(L_VALOR,L_TIPO,"Despesa",L_CONTA,A160,L_EXCL,"",L_STATUS,"Pago")-SUMIFS(L_VALOR,L_TIPO,"Transferência",L_CONTA,A160,L_EXCL,"",L_STATUS,"Pago")+SUMIFS(L_VALOR,L_TIPO,"Transferência",L_DEST,A160,L_EXCL,"",L_STATUS,"Pago")))</f>
        <v/>
      </c>
    </row>
    <row r="161">
      <c r="A161">
        <f>IF(Contas!$B$3="","",Contas!$B$3)</f>
        <v/>
      </c>
      <c r="B161">
        <f>IF(A161="","",Contas!$C$3)</f>
        <v/>
      </c>
      <c r="C161">
        <f>IF(A161="",0,N(Contas!$E$3))</f>
        <v/>
      </c>
      <c r="D161">
        <f>IF(A161="",0,IF(B161="Cartão de crédito",C161+SUMIFS(L_VALOR,L_TIPO,"Receita",L_CONTA,A161,L_EXCL,"")-SUMIFS(L_VALOR,L_TIPO,"Despesa",L_CONTA,A161,L_EXCL,"")-SUMIFS(L_VALOR,L_TIPO,"Transferência",L_CONTA,A161,L_EXCL,"",L_STATUS,"Pago")+SUMIFS(L_VALOR,L_TIPO,"Transferência",L_DEST,A161,L_EXCL,"",L_STATUS,"Pago"),C161+SUMIFS(L_VALOR,L_TIPO,"Receita",L_CONTA,A161,L_EXCL,"",L_STATUS,"Pago")-SUMIFS(L_VALOR,L_TIPO,"Despesa",L_CONTA,A161,L_EXCL,"",L_STATUS,"Pago")-SUMIFS(L_VALOR,L_TIPO,"Transferência",L_CONTA,A161,L_EXCL,"",L_STATUS,"Pago")+SUMIFS(L_VALOR,L_TIPO,"Transferência",L_DEST,A161,L_EXCL,"",L_STATUS,"Pago")))</f>
        <v/>
      </c>
    </row>
    <row r="162">
      <c r="A162">
        <f>IF(Contas!$B$4="","",Contas!$B$4)</f>
        <v/>
      </c>
      <c r="B162">
        <f>IF(A162="","",Contas!$C$4)</f>
        <v/>
      </c>
      <c r="C162">
        <f>IF(A162="",0,N(Contas!$E$4))</f>
        <v/>
      </c>
      <c r="D162">
        <f>IF(A162="",0,IF(B162="Cartão de crédito",C162+SUMIFS(L_VALOR,L_TIPO,"Receita",L_CONTA,A162,L_EXCL,"")-SUMIFS(L_VALOR,L_TIPO,"Despesa",L_CONTA,A162,L_EXCL,"")-SUMIFS(L_VALOR,L_TIPO,"Transferência",L_CONTA,A162,L_EXCL,"",L_STATUS,"Pago")+SUMIFS(L_VALOR,L_TIPO,"Transferência",L_DEST,A162,L_EXCL,"",L_STATUS,"Pago"),C162+SUMIFS(L_VALOR,L_TIPO,"Receita",L_CONTA,A162,L_EXCL,"",L_STATUS,"Pago")-SUMIFS(L_VALOR,L_TIPO,"Despesa",L_CONTA,A162,L_EXCL,"",L_STATUS,"Pago")-SUMIFS(L_VALOR,L_TIPO,"Transferência",L_CONTA,A162,L_EXCL,"",L_STATUS,"Pago")+SUMIFS(L_VALOR,L_TIPO,"Transferência",L_DEST,A162,L_EXCL,"",L_STATUS,"Pago")))</f>
        <v/>
      </c>
    </row>
    <row r="163">
      <c r="A163">
        <f>IF(Contas!$B$5="","",Contas!$B$5)</f>
        <v/>
      </c>
      <c r="B163">
        <f>IF(A163="","",Contas!$C$5)</f>
        <v/>
      </c>
      <c r="C163">
        <f>IF(A163="",0,N(Contas!$E$5))</f>
        <v/>
      </c>
      <c r="D163">
        <f>IF(A163="",0,IF(B163="Cartão de crédito",C163+SUMIFS(L_VALOR,L_TIPO,"Receita",L_CONTA,A163,L_EXCL,"")-SUMIFS(L_VALOR,L_TIPO,"Despesa",L_CONTA,A163,L_EXCL,"")-SUMIFS(L_VALOR,L_TIPO,"Transferência",L_CONTA,A163,L_EXCL,"",L_STATUS,"Pago")+SUMIFS(L_VALOR,L_TIPO,"Transferência",L_DEST,A163,L_EXCL,"",L_STATUS,"Pago"),C163+SUMIFS(L_VALOR,L_TIPO,"Receita",L_CONTA,A163,L_EXCL,"",L_STATUS,"Pago")-SUMIFS(L_VALOR,L_TIPO,"Despesa",L_CONTA,A163,L_EXCL,"",L_STATUS,"Pago")-SUMIFS(L_VALOR,L_TIPO,"Transferência",L_CONTA,A163,L_EXCL,"",L_STATUS,"Pago")+SUMIFS(L_VALOR,L_TIPO,"Transferência",L_DEST,A163,L_EXCL,"",L_STATUS,"Pago")))</f>
        <v/>
      </c>
    </row>
    <row r="164">
      <c r="A164">
        <f>IF(Contas!$B$6="","",Contas!$B$6)</f>
        <v/>
      </c>
      <c r="B164">
        <f>IF(A164="","",Contas!$C$6)</f>
        <v/>
      </c>
      <c r="C164">
        <f>IF(A164="",0,N(Contas!$E$6))</f>
        <v/>
      </c>
      <c r="D164">
        <f>IF(A164="",0,IF(B164="Cartão de crédito",C164+SUMIFS(L_VALOR,L_TIPO,"Receita",L_CONTA,A164,L_EXCL,"")-SUMIFS(L_VALOR,L_TIPO,"Despesa",L_CONTA,A164,L_EXCL,"")-SUMIFS(L_VALOR,L_TIPO,"Transferência",L_CONTA,A164,L_EXCL,"",L_STATUS,"Pago")+SUMIFS(L_VALOR,L_TIPO,"Transferência",L_DEST,A164,L_EXCL,"",L_STATUS,"Pago"),C164+SUMIFS(L_VALOR,L_TIPO,"Receita",L_CONTA,A164,L_EXCL,"",L_STATUS,"Pago")-SUMIFS(L_VALOR,L_TIPO,"Despesa",L_CONTA,A164,L_EXCL,"",L_STATUS,"Pago")-SUMIFS(L_VALOR,L_TIPO,"Transferência",L_CONTA,A164,L_EXCL,"",L_STATUS,"Pago")+SUMIFS(L_VALOR,L_TIPO,"Transferência",L_DEST,A164,L_EXCL,"",L_STATUS,"Pago")))</f>
        <v/>
      </c>
    </row>
    <row r="165">
      <c r="A165">
        <f>IF(Contas!$B$7="","",Contas!$B$7)</f>
        <v/>
      </c>
      <c r="B165">
        <f>IF(A165="","",Contas!$C$7)</f>
        <v/>
      </c>
      <c r="C165">
        <f>IF(A165="",0,N(Contas!$E$7))</f>
        <v/>
      </c>
      <c r="D165">
        <f>IF(A165="",0,IF(B165="Cartão de crédito",C165+SUMIFS(L_VALOR,L_TIPO,"Receita",L_CONTA,A165,L_EXCL,"")-SUMIFS(L_VALOR,L_TIPO,"Despesa",L_CONTA,A165,L_EXCL,"")-SUMIFS(L_VALOR,L_TIPO,"Transferência",L_CONTA,A165,L_EXCL,"",L_STATUS,"Pago")+SUMIFS(L_VALOR,L_TIPO,"Transferência",L_DEST,A165,L_EXCL,"",L_STATUS,"Pago"),C165+SUMIFS(L_VALOR,L_TIPO,"Receita",L_CONTA,A165,L_EXCL,"",L_STATUS,"Pago")-SUMIFS(L_VALOR,L_TIPO,"Despesa",L_CONTA,A165,L_EXCL,"",L_STATUS,"Pago")-SUMIFS(L_VALOR,L_TIPO,"Transferência",L_CONTA,A165,L_EXCL,"",L_STATUS,"Pago")+SUMIFS(L_VALOR,L_TIPO,"Transferência",L_DEST,A165,L_EXCL,"",L_STATUS,"Pago")))</f>
        <v/>
      </c>
    </row>
    <row r="166">
      <c r="A166">
        <f>IF(Contas!$B$8="","",Contas!$B$8)</f>
        <v/>
      </c>
      <c r="B166">
        <f>IF(A166="","",Contas!$C$8)</f>
        <v/>
      </c>
      <c r="C166">
        <f>IF(A166="",0,N(Contas!$E$8))</f>
        <v/>
      </c>
      <c r="D166">
        <f>IF(A166="",0,IF(B166="Cartão de crédito",C166+SUMIFS(L_VALOR,L_TIPO,"Receita",L_CONTA,A166,L_EXCL,"")-SUMIFS(L_VALOR,L_TIPO,"Despesa",L_CONTA,A166,L_EXCL,"")-SUMIFS(L_VALOR,L_TIPO,"Transferência",L_CONTA,A166,L_EXCL,"",L_STATUS,"Pago")+SUMIFS(L_VALOR,L_TIPO,"Transferência",L_DEST,A166,L_EXCL,"",L_STATUS,"Pago"),C166+SUMIFS(L_VALOR,L_TIPO,"Receita",L_CONTA,A166,L_EXCL,"",L_STATUS,"Pago")-SUMIFS(L_VALOR,L_TIPO,"Despesa",L_CONTA,A166,L_EXCL,"",L_STATUS,"Pago")-SUMIFS(L_VALOR,L_TIPO,"Transferência",L_CONTA,A166,L_EXCL,"",L_STATUS,"Pago")+SUMIFS(L_VALOR,L_TIPO,"Transferência",L_DEST,A166,L_EXCL,"",L_STATUS,"Pago")))</f>
        <v/>
      </c>
    </row>
    <row r="167">
      <c r="A167">
        <f>IF(Contas!$B$9="","",Contas!$B$9)</f>
        <v/>
      </c>
      <c r="B167">
        <f>IF(A167="","",Contas!$C$9)</f>
        <v/>
      </c>
      <c r="C167">
        <f>IF(A167="",0,N(Contas!$E$9))</f>
        <v/>
      </c>
      <c r="D167">
        <f>IF(A167="",0,IF(B167="Cartão de crédito",C167+SUMIFS(L_VALOR,L_TIPO,"Receita",L_CONTA,A167,L_EXCL,"")-SUMIFS(L_VALOR,L_TIPO,"Despesa",L_CONTA,A167,L_EXCL,"")-SUMIFS(L_VALOR,L_TIPO,"Transferência",L_CONTA,A167,L_EXCL,"",L_STATUS,"Pago")+SUMIFS(L_VALOR,L_TIPO,"Transferência",L_DEST,A167,L_EXCL,"",L_STATUS,"Pago"),C167+SUMIFS(L_VALOR,L_TIPO,"Receita",L_CONTA,A167,L_EXCL,"",L_STATUS,"Pago")-SUMIFS(L_VALOR,L_TIPO,"Despesa",L_CONTA,A167,L_EXCL,"",L_STATUS,"Pago")-SUMIFS(L_VALOR,L_TIPO,"Transferência",L_CONTA,A167,L_EXCL,"",L_STATUS,"Pago")+SUMIFS(L_VALOR,L_TIPO,"Transferência",L_DEST,A167,L_EXCL,"",L_STATUS,"Pago")))</f>
        <v/>
      </c>
    </row>
    <row r="168">
      <c r="A168">
        <f>IF(Contas!$B$10="","",Contas!$B$10)</f>
        <v/>
      </c>
      <c r="B168">
        <f>IF(A168="","",Contas!$C$10)</f>
        <v/>
      </c>
      <c r="C168">
        <f>IF(A168="",0,N(Contas!$E$10))</f>
        <v/>
      </c>
      <c r="D168">
        <f>IF(A168="",0,IF(B168="Cartão de crédito",C168+SUMIFS(L_VALOR,L_TIPO,"Receita",L_CONTA,A168,L_EXCL,"")-SUMIFS(L_VALOR,L_TIPO,"Despesa",L_CONTA,A168,L_EXCL,"")-SUMIFS(L_VALOR,L_TIPO,"Transferência",L_CONTA,A168,L_EXCL,"",L_STATUS,"Pago")+SUMIFS(L_VALOR,L_TIPO,"Transferência",L_DEST,A168,L_EXCL,"",L_STATUS,"Pago"),C168+SUMIFS(L_VALOR,L_TIPO,"Receita",L_CONTA,A168,L_EXCL,"",L_STATUS,"Pago")-SUMIFS(L_VALOR,L_TIPO,"Despesa",L_CONTA,A168,L_EXCL,"",L_STATUS,"Pago")-SUMIFS(L_VALOR,L_TIPO,"Transferência",L_CONTA,A168,L_EXCL,"",L_STATUS,"Pago")+SUMIFS(L_VALOR,L_TIPO,"Transferência",L_DEST,A168,L_EXCL,"",L_STATUS,"Pago")))</f>
        <v/>
      </c>
    </row>
    <row r="169">
      <c r="A169">
        <f>IF(Contas!$B$11="","",Contas!$B$11)</f>
        <v/>
      </c>
      <c r="B169">
        <f>IF(A169="","",Contas!$C$11)</f>
        <v/>
      </c>
      <c r="C169">
        <f>IF(A169="",0,N(Contas!$E$11))</f>
        <v/>
      </c>
      <c r="D169">
        <f>IF(A169="",0,IF(B169="Cartão de crédito",C169+SUMIFS(L_VALOR,L_TIPO,"Receita",L_CONTA,A169,L_EXCL,"")-SUMIFS(L_VALOR,L_TIPO,"Despesa",L_CONTA,A169,L_EXCL,"")-SUMIFS(L_VALOR,L_TIPO,"Transferência",L_CONTA,A169,L_EXCL,"",L_STATUS,"Pago")+SUMIFS(L_VALOR,L_TIPO,"Transferência",L_DEST,A169,L_EXCL,"",L_STATUS,"Pago"),C169+SUMIFS(L_VALOR,L_TIPO,"Receita",L_CONTA,A169,L_EXCL,"",L_STATUS,"Pago")-SUMIFS(L_VALOR,L_TIPO,"Despesa",L_CONTA,A169,L_EXCL,"",L_STATUS,"Pago")-SUMIFS(L_VALOR,L_TIPO,"Transferência",L_CONTA,A169,L_EXCL,"",L_STATUS,"Pago")+SUMIFS(L_VALOR,L_TIPO,"Transferência",L_DEST,A169,L_EXCL,"",L_STATUS,"Pago")))</f>
        <v/>
      </c>
    </row>
    <row r="170">
      <c r="A170">
        <f>IF(Contas!$B$12="","",Contas!$B$12)</f>
        <v/>
      </c>
      <c r="B170">
        <f>IF(A170="","",Contas!$C$12)</f>
        <v/>
      </c>
      <c r="C170">
        <f>IF(A170="",0,N(Contas!$E$12))</f>
        <v/>
      </c>
      <c r="D170">
        <f>IF(A170="",0,IF(B170="Cartão de crédito",C170+SUMIFS(L_VALOR,L_TIPO,"Receita",L_CONTA,A170,L_EXCL,"")-SUMIFS(L_VALOR,L_TIPO,"Despesa",L_CONTA,A170,L_EXCL,"")-SUMIFS(L_VALOR,L_TIPO,"Transferência",L_CONTA,A170,L_EXCL,"",L_STATUS,"Pago")+SUMIFS(L_VALOR,L_TIPO,"Transferência",L_DEST,A170,L_EXCL,"",L_STATUS,"Pago"),C170+SUMIFS(L_VALOR,L_TIPO,"Receita",L_CONTA,A170,L_EXCL,"",L_STATUS,"Pago")-SUMIFS(L_VALOR,L_TIPO,"Despesa",L_CONTA,A170,L_EXCL,"",L_STATUS,"Pago")-SUMIFS(L_VALOR,L_TIPO,"Transferência",L_CONTA,A170,L_EXCL,"",L_STATUS,"Pago")+SUMIFS(L_VALOR,L_TIPO,"Transferência",L_DEST,A170,L_EXCL,"",L_STATUS,"Pago")))</f>
        <v/>
      </c>
    </row>
    <row r="171">
      <c r="A171">
        <f>IF(Contas!$B$13="","",Contas!$B$13)</f>
        <v/>
      </c>
      <c r="B171">
        <f>IF(A171="","",Contas!$C$13)</f>
        <v/>
      </c>
      <c r="C171">
        <f>IF(A171="",0,N(Contas!$E$13))</f>
        <v/>
      </c>
      <c r="D171">
        <f>IF(A171="",0,IF(B171="Cartão de crédito",C171+SUMIFS(L_VALOR,L_TIPO,"Receita",L_CONTA,A171,L_EXCL,"")-SUMIFS(L_VALOR,L_TIPO,"Despesa",L_CONTA,A171,L_EXCL,"")-SUMIFS(L_VALOR,L_TIPO,"Transferência",L_CONTA,A171,L_EXCL,"",L_STATUS,"Pago")+SUMIFS(L_VALOR,L_TIPO,"Transferência",L_DEST,A171,L_EXCL,"",L_STATUS,"Pago"),C171+SUMIFS(L_VALOR,L_TIPO,"Receita",L_CONTA,A171,L_EXCL,"",L_STATUS,"Pago")-SUMIFS(L_VALOR,L_TIPO,"Despesa",L_CONTA,A171,L_EXCL,"",L_STATUS,"Pago")-SUMIFS(L_VALOR,L_TIPO,"Transferência",L_CONTA,A171,L_EXCL,"",L_STATUS,"Pago")+SUMIFS(L_VALOR,L_TIPO,"Transferência",L_DEST,A171,L_EXCL,"",L_STATUS,"Pago")))</f>
        <v/>
      </c>
    </row>
    <row r="178">
      <c r="A178" t="inlineStr">
        <is>
          <t>titular</t>
        </is>
      </c>
      <c r="B178" t="inlineStr">
        <is>
          <t>receitas</t>
        </is>
      </c>
      <c r="C178" t="inlineStr">
        <is>
          <t>despesas</t>
        </is>
      </c>
      <c r="D178" t="inlineStr">
        <is>
          <t>resultado</t>
        </is>
      </c>
      <c r="E178" t="inlineStr">
        <is>
          <t>pct_despesas</t>
        </is>
      </c>
    </row>
    <row r="188">
      <c r="A188" t="inlineStr">
        <is>
          <t>RESUMO DO ANO (individual)</t>
        </is>
      </c>
    </row>
    <row r="189">
      <c r="A189" t="inlineStr">
        <is>
          <t>mes</t>
        </is>
      </c>
      <c r="B189" t="inlineStr">
        <is>
          <t>receitas</t>
        </is>
      </c>
      <c r="C189" t="inlineStr">
        <is>
          <t>despesas</t>
        </is>
      </c>
      <c r="D189" t="inlineStr">
        <is>
          <t>resultado</t>
        </is>
      </c>
      <c r="F189" t="inlineStr">
        <is>
          <t>indicador</t>
        </is>
      </c>
      <c r="G189" t="inlineStr">
        <is>
          <t>valor</t>
        </is>
      </c>
    </row>
    <row r="190">
      <c r="A190" t="n">
        <v>1</v>
      </c>
      <c r="B190">
        <f>SUMIFS(L_VALOR,L_TIPO,"Receita",L_DATA,"&gt;="&amp;DATE(F_ANO,A190,1),L_DATA,"&lt;="&amp;EOMONTH(DATE(F_ANO,A190,1),0),L_CONTA,F_CONTA,L_TIT,F_TIT,L_EXCL,"")</f>
        <v/>
      </c>
      <c r="C190">
        <f>SUMIFS(L_VALOR,L_TIPO,"Despesa",L_DATA,"&gt;="&amp;DATE(F_ANO,A190,1),L_DATA,"&lt;="&amp;EOMONTH(DATE(F_ANO,A190,1),0),L_CONTA,F_CONTA,L_TIT,F_TIT,L_EXCL,"")</f>
        <v/>
      </c>
      <c r="D190">
        <f>B190-C190</f>
        <v/>
      </c>
      <c r="F190" t="inlineStr">
        <is>
          <t>receitas_ano</t>
        </is>
      </c>
      <c r="G190">
        <f>SUM(B190:B201)</f>
        <v/>
      </c>
    </row>
    <row r="191">
      <c r="A191" t="n">
        <v>2</v>
      </c>
      <c r="B191">
        <f>SUMIFS(L_VALOR,L_TIPO,"Receita",L_DATA,"&gt;="&amp;DATE(F_ANO,A191,1),L_DATA,"&lt;="&amp;EOMONTH(DATE(F_ANO,A191,1),0),L_CONTA,F_CONTA,L_TIT,F_TIT,L_EXCL,"")</f>
        <v/>
      </c>
      <c r="C191">
        <f>SUMIFS(L_VALOR,L_TIPO,"Despesa",L_DATA,"&gt;="&amp;DATE(F_ANO,A191,1),L_DATA,"&lt;="&amp;EOMONTH(DATE(F_ANO,A191,1),0),L_CONTA,F_CONTA,L_TIT,F_TIT,L_EXCL,"")</f>
        <v/>
      </c>
      <c r="D191">
        <f>B191-C191</f>
        <v/>
      </c>
      <c r="F191" t="inlineStr">
        <is>
          <t>despesas_ano</t>
        </is>
      </c>
      <c r="G191">
        <f>SUM(C190:C201)</f>
        <v/>
      </c>
    </row>
    <row r="192">
      <c r="A192" t="n">
        <v>3</v>
      </c>
      <c r="B192">
        <f>SUMIFS(L_VALOR,L_TIPO,"Receita",L_DATA,"&gt;="&amp;DATE(F_ANO,A192,1),L_DATA,"&lt;="&amp;EOMONTH(DATE(F_ANO,A192,1),0),L_CONTA,F_CONTA,L_TIT,F_TIT,L_EXCL,"")</f>
        <v/>
      </c>
      <c r="C192">
        <f>SUMIFS(L_VALOR,L_TIPO,"Despesa",L_DATA,"&gt;="&amp;DATE(F_ANO,A192,1),L_DATA,"&lt;="&amp;EOMONTH(DATE(F_ANO,A192,1),0),L_CONTA,F_CONTA,L_TIT,F_TIT,L_EXCL,"")</f>
        <v/>
      </c>
      <c r="D192">
        <f>B192-C192</f>
        <v/>
      </c>
      <c r="F192" t="inlineStr">
        <is>
          <t>resultado_ano</t>
        </is>
      </c>
      <c r="G192">
        <f>G190-G191</f>
        <v/>
      </c>
    </row>
    <row r="193">
      <c r="A193" t="n">
        <v>4</v>
      </c>
      <c r="B193">
        <f>SUMIFS(L_VALOR,L_TIPO,"Receita",L_DATA,"&gt;="&amp;DATE(F_ANO,A193,1),L_DATA,"&lt;="&amp;EOMONTH(DATE(F_ANO,A193,1),0),L_CONTA,F_CONTA,L_TIT,F_TIT,L_EXCL,"")</f>
        <v/>
      </c>
      <c r="C193">
        <f>SUMIFS(L_VALOR,L_TIPO,"Despesa",L_DATA,"&gt;="&amp;DATE(F_ANO,A193,1),L_DATA,"&lt;="&amp;EOMONTH(DATE(F_ANO,A193,1),0),L_CONTA,F_CONTA,L_TIT,F_TIT,L_EXCL,"")</f>
        <v/>
      </c>
      <c r="D193">
        <f>B193-C193</f>
        <v/>
      </c>
      <c r="F193" t="inlineStr">
        <is>
          <t>media_despesas</t>
        </is>
      </c>
      <c r="G193">
        <f>G191/IF(F_ANO=YEAR(HOJE),MONTH(HOJE),12)</f>
        <v/>
      </c>
    </row>
    <row r="194">
      <c r="A194" t="n">
        <v>5</v>
      </c>
      <c r="B194">
        <f>SUMIFS(L_VALOR,L_TIPO,"Receita",L_DATA,"&gt;="&amp;DATE(F_ANO,A194,1),L_DATA,"&lt;="&amp;EOMONTH(DATE(F_ANO,A194,1),0),L_CONTA,F_CONTA,L_TIT,F_TIT,L_EXCL,"")</f>
        <v/>
      </c>
      <c r="C194">
        <f>SUMIFS(L_VALOR,L_TIPO,"Despesa",L_DATA,"&gt;="&amp;DATE(F_ANO,A194,1),L_DATA,"&lt;="&amp;EOMONTH(DATE(F_ANO,A194,1),0),L_CONTA,F_CONTA,L_TIT,F_TIT,L_EXCL,"")</f>
        <v/>
      </c>
      <c r="D194">
        <f>B194-C194</f>
        <v/>
      </c>
      <c r="F194" t="inlineStr">
        <is>
          <t>maior_mes_desp</t>
        </is>
      </c>
      <c r="G194">
        <f>IF(MAX(C190:C201)&gt;0,INDEX('_Listas'!$B$2:$B$13,MATCH(MAX(C190:C201),C190:C201,0)),"—")</f>
        <v/>
      </c>
    </row>
    <row r="195">
      <c r="A195" t="n">
        <v>6</v>
      </c>
      <c r="B195">
        <f>SUMIFS(L_VALOR,L_TIPO,"Receita",L_DATA,"&gt;="&amp;DATE(F_ANO,A195,1),L_DATA,"&lt;="&amp;EOMONTH(DATE(F_ANO,A195,1),0),L_CONTA,F_CONTA,L_TIT,F_TIT,L_EXCL,"")</f>
        <v/>
      </c>
      <c r="C195">
        <f>SUMIFS(L_VALOR,L_TIPO,"Despesa",L_DATA,"&gt;="&amp;DATE(F_ANO,A195,1),L_DATA,"&lt;="&amp;EOMONTH(DATE(F_ANO,A195,1),0),L_CONTA,F_CONTA,L_TIT,F_TIT,L_EXCL,"")</f>
        <v/>
      </c>
      <c r="D195">
        <f>B195-C195</f>
        <v/>
      </c>
      <c r="F195" t="inlineStr">
        <is>
          <t>maior_mes_desp_valor</t>
        </is>
      </c>
      <c r="G195">
        <f>MAX(C190:C201)</f>
        <v/>
      </c>
    </row>
    <row r="196">
      <c r="A196" t="n">
        <v>7</v>
      </c>
      <c r="B196">
        <f>SUMIFS(L_VALOR,L_TIPO,"Receita",L_DATA,"&gt;="&amp;DATE(F_ANO,A196,1),L_DATA,"&lt;="&amp;EOMONTH(DATE(F_ANO,A196,1),0),L_CONTA,F_CONTA,L_TIT,F_TIT,L_EXCL,"")</f>
        <v/>
      </c>
      <c r="C196">
        <f>SUMIFS(L_VALOR,L_TIPO,"Despesa",L_DATA,"&gt;="&amp;DATE(F_ANO,A196,1),L_DATA,"&lt;="&amp;EOMONTH(DATE(F_ANO,A196,1),0),L_CONTA,F_CONTA,L_TIT,F_TIT,L_EXCL,"")</f>
        <v/>
      </c>
      <c r="D196">
        <f>B196-C196</f>
        <v/>
      </c>
      <c r="F196" t="inlineStr">
        <is>
          <t>melhor_mes</t>
        </is>
      </c>
      <c r="G196">
        <f>IF(MAX(D190:D201)&gt;0,INDEX('_Listas'!$B$2:$B$13,MATCH(MAX(D190:D201),D190:D201,0)),"—")</f>
        <v/>
      </c>
    </row>
    <row r="197">
      <c r="A197" t="n">
        <v>8</v>
      </c>
      <c r="B197">
        <f>SUMIFS(L_VALOR,L_TIPO,"Receita",L_DATA,"&gt;="&amp;DATE(F_ANO,A197,1),L_DATA,"&lt;="&amp;EOMONTH(DATE(F_ANO,A197,1),0),L_CONTA,F_CONTA,L_TIT,F_TIT,L_EXCL,"")</f>
        <v/>
      </c>
      <c r="C197">
        <f>SUMIFS(L_VALOR,L_TIPO,"Despesa",L_DATA,"&gt;="&amp;DATE(F_ANO,A197,1),L_DATA,"&lt;="&amp;EOMONTH(DATE(F_ANO,A197,1),0),L_CONTA,F_CONTA,L_TIT,F_TIT,L_EXCL,"")</f>
        <v/>
      </c>
      <c r="D197">
        <f>B197-C197</f>
        <v/>
      </c>
      <c r="F197" t="inlineStr">
        <is>
          <t>melhor_mes_valor</t>
        </is>
      </c>
      <c r="G197">
        <f>MAX(0,MAX(D190:D201))</f>
        <v/>
      </c>
    </row>
    <row r="198">
      <c r="A198" t="n">
        <v>9</v>
      </c>
      <c r="B198">
        <f>SUMIFS(L_VALOR,L_TIPO,"Receita",L_DATA,"&gt;="&amp;DATE(F_ANO,A198,1),L_DATA,"&lt;="&amp;EOMONTH(DATE(F_ANO,A198,1),0),L_CONTA,F_CONTA,L_TIT,F_TIT,L_EXCL,"")</f>
        <v/>
      </c>
      <c r="C198">
        <f>SUMIFS(L_VALOR,L_TIPO,"Despesa",L_DATA,"&gt;="&amp;DATE(F_ANO,A198,1),L_DATA,"&lt;="&amp;EOMONTH(DATE(F_ANO,A198,1),0),L_CONTA,F_CONTA,L_TIT,F_TIT,L_EXCL,"")</f>
        <v/>
      </c>
      <c r="D198">
        <f>B198-C198</f>
        <v/>
      </c>
    </row>
    <row r="199">
      <c r="A199" t="n">
        <v>10</v>
      </c>
      <c r="B199">
        <f>SUMIFS(L_VALOR,L_TIPO,"Receita",L_DATA,"&gt;="&amp;DATE(F_ANO,A199,1),L_DATA,"&lt;="&amp;EOMONTH(DATE(F_ANO,A199,1),0),L_CONTA,F_CONTA,L_TIT,F_TIT,L_EXCL,"")</f>
        <v/>
      </c>
      <c r="C199">
        <f>SUMIFS(L_VALOR,L_TIPO,"Despesa",L_DATA,"&gt;="&amp;DATE(F_ANO,A199,1),L_DATA,"&lt;="&amp;EOMONTH(DATE(F_ANO,A199,1),0),L_CONTA,F_CONTA,L_TIT,F_TIT,L_EXCL,"")</f>
        <v/>
      </c>
      <c r="D199">
        <f>B199-C199</f>
        <v/>
      </c>
    </row>
    <row r="200">
      <c r="A200" t="n">
        <v>11</v>
      </c>
      <c r="B200">
        <f>SUMIFS(L_VALOR,L_TIPO,"Receita",L_DATA,"&gt;="&amp;DATE(F_ANO,A200,1),L_DATA,"&lt;="&amp;EOMONTH(DATE(F_ANO,A200,1),0),L_CONTA,F_CONTA,L_TIT,F_TIT,L_EXCL,"")</f>
        <v/>
      </c>
      <c r="C200">
        <f>SUMIFS(L_VALOR,L_TIPO,"Despesa",L_DATA,"&gt;="&amp;DATE(F_ANO,A200,1),L_DATA,"&lt;="&amp;EOMONTH(DATE(F_ANO,A200,1),0),L_CONTA,F_CONTA,L_TIT,F_TIT,L_EXCL,"")</f>
        <v/>
      </c>
      <c r="D200">
        <f>B200-C200</f>
        <v/>
      </c>
    </row>
    <row r="201">
      <c r="A201" t="n">
        <v>12</v>
      </c>
      <c r="B201">
        <f>SUMIFS(L_VALOR,L_TIPO,"Receita",L_DATA,"&gt;="&amp;DATE(F_ANO,A201,1),L_DATA,"&lt;="&amp;EOMONTH(DATE(F_ANO,A201,1),0),L_CONTA,F_CONTA,L_TIT,F_TIT,L_EXCL,"")</f>
        <v/>
      </c>
      <c r="C201">
        <f>SUMIFS(L_VALOR,L_TIPO,"Despesa",L_DATA,"&gt;="&amp;DATE(F_ANO,A201,1),L_DATA,"&lt;="&amp;EOMONTH(DATE(F_ANO,A201,1),0),L_CONTA,F_CONTA,L_TIT,F_TIT,L_EXCL,"")</f>
        <v/>
      </c>
      <c r="D201">
        <f>B201-C201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2026-10-17T18:40:44Z</dcterms:created>
  <dcterms:modified xmlns:dcterms="http://purl.org/dc/terms/" xmlns:xsi="http://www.w3.org/2001/XMLSchema-instance" xsi:type="dcterms:W3CDTF">2026-10-17T18:40:44Z</dcterms:modified>
</cp:coreProperties>
</file>